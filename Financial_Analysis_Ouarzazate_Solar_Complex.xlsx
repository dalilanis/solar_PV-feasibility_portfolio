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workflow\portfolio\Ouarzazate\"/>
    </mc:Choice>
  </mc:AlternateContent>
  <xr:revisionPtr revIDLastSave="0" documentId="13_ncr:1_{06E45611-31ED-4926-98F6-52F2F3CF2333}" xr6:coauthVersionLast="47" xr6:coauthVersionMax="47" xr10:uidLastSave="{00000000-0000-0000-0000-000000000000}"/>
  <bookViews>
    <workbookView xWindow="-120" yWindow="-120" windowWidth="29040" windowHeight="15840" tabRatio="500" firstSheet="2" activeTab="5" xr2:uid="{00000000-000D-0000-FFFF-FFFF00000000}"/>
  </bookViews>
  <sheets>
    <sheet name="Cover" sheetId="1" r:id="rId1"/>
    <sheet name="Inputs" sheetId="2" r:id="rId2"/>
    <sheet name="Annual Cashflow" sheetId="3" r:id="rId3"/>
    <sheet name="Debt &amp; Equity" sheetId="4" r:id="rId4"/>
    <sheet name="Tax &amp; Depreciation" sheetId="5" r:id="rId5"/>
    <sheet name="Summary" sheetId="6" r:id="rId6"/>
    <sheet name="Sensitivity Analysis" sheetId="7" r:id="rId7"/>
    <sheet name="Monthly Production" sheetId="8" r:id="rId8"/>
    <sheet name="Risk Matrix" sheetId="9" r:id="rId9"/>
    <sheet name="Scenario Analysis" sheetId="10" r:id="rId10"/>
    <sheet name="Charts &amp; Dashboard" sheetId="11" r:id="rId11"/>
    <sheet name="Model Checks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6" l="1" a="1"/>
  <c r="C36" i="6" s="1"/>
  <c r="C33" i="6"/>
  <c r="C20" i="10" a="1"/>
  <c r="C20" i="10" s="1"/>
  <c r="G9" i="9"/>
  <c r="G10" i="9"/>
  <c r="G11" i="9"/>
  <c r="G12" i="9"/>
  <c r="G13" i="9"/>
  <c r="G14" i="9"/>
  <c r="G15" i="9"/>
  <c r="G16" i="9"/>
  <c r="G17" i="9"/>
  <c r="G8" i="9"/>
  <c r="E19" i="12"/>
  <c r="E18" i="12"/>
  <c r="E17" i="12"/>
  <c r="E15" i="12"/>
  <c r="D15" i="12"/>
  <c r="F15" i="12" s="1"/>
  <c r="E14" i="12"/>
  <c r="D14" i="12"/>
  <c r="F14" i="12" s="1"/>
  <c r="E13" i="12"/>
  <c r="E12" i="12"/>
  <c r="E11" i="12"/>
  <c r="D11" i="12"/>
  <c r="F11" i="12" s="1"/>
  <c r="E10" i="12"/>
  <c r="E8" i="12"/>
  <c r="C55" i="11"/>
  <c r="C54" i="11"/>
  <c r="C53" i="11"/>
  <c r="C52" i="11"/>
  <c r="C51" i="11"/>
  <c r="C50" i="11"/>
  <c r="C49" i="11"/>
  <c r="C48" i="11"/>
  <c r="C47" i="11"/>
  <c r="C46" i="11"/>
  <c r="C45" i="11"/>
  <c r="C44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17" i="11"/>
  <c r="E25" i="10"/>
  <c r="D25" i="10"/>
  <c r="C25" i="10"/>
  <c r="E24" i="10"/>
  <c r="D24" i="10"/>
  <c r="C24" i="10"/>
  <c r="E23" i="10"/>
  <c r="D23" i="10"/>
  <c r="C23" i="10"/>
  <c r="E22" i="10"/>
  <c r="D22" i="10"/>
  <c r="C22" i="10"/>
  <c r="E20" i="10"/>
  <c r="D20" i="10"/>
  <c r="C26" i="9"/>
  <c r="H17" i="9"/>
  <c r="H16" i="9"/>
  <c r="H15" i="9"/>
  <c r="H14" i="9"/>
  <c r="H13" i="9"/>
  <c r="H12" i="9"/>
  <c r="H11" i="9"/>
  <c r="H10" i="9"/>
  <c r="H9" i="9"/>
  <c r="H8" i="9"/>
  <c r="C21" i="8"/>
  <c r="C19" i="8"/>
  <c r="E35" i="7"/>
  <c r="D35" i="7"/>
  <c r="C35" i="7"/>
  <c r="E34" i="7"/>
  <c r="D34" i="7"/>
  <c r="C34" i="7"/>
  <c r="E33" i="7"/>
  <c r="D33" i="7"/>
  <c r="C33" i="7"/>
  <c r="E32" i="7"/>
  <c r="D32" i="7"/>
  <c r="C32" i="7"/>
  <c r="E28" i="7"/>
  <c r="D28" i="7"/>
  <c r="C28" i="7"/>
  <c r="E27" i="7"/>
  <c r="D27" i="7"/>
  <c r="C27" i="7"/>
  <c r="E26" i="7"/>
  <c r="D26" i="7"/>
  <c r="C26" i="7"/>
  <c r="E25" i="7"/>
  <c r="D25" i="7"/>
  <c r="C25" i="7"/>
  <c r="E21" i="7"/>
  <c r="D21" i="7"/>
  <c r="C68" i="11" s="1"/>
  <c r="C21" i="7"/>
  <c r="E20" i="7"/>
  <c r="D20" i="7"/>
  <c r="C67" i="11" s="1"/>
  <c r="C20" i="7"/>
  <c r="E19" i="7"/>
  <c r="D19" i="7"/>
  <c r="C19" i="7"/>
  <c r="E18" i="7"/>
  <c r="D18" i="7"/>
  <c r="C66" i="11" s="1"/>
  <c r="C18" i="7"/>
  <c r="E17" i="7"/>
  <c r="D17" i="7"/>
  <c r="C65" i="11" s="1"/>
  <c r="C17" i="7"/>
  <c r="E16" i="7"/>
  <c r="D16" i="7"/>
  <c r="C64" i="11" s="1"/>
  <c r="C16" i="7"/>
  <c r="E12" i="7"/>
  <c r="D12" i="7" a="1"/>
  <c r="D12" i="7" s="1"/>
  <c r="C63" i="11" s="1"/>
  <c r="C12" i="7"/>
  <c r="E11" i="7"/>
  <c r="D11" i="7"/>
  <c r="C62" i="11" s="1"/>
  <c r="C11" i="7"/>
  <c r="E10" i="7"/>
  <c r="D10" i="7"/>
  <c r="C61" i="11" s="1"/>
  <c r="D61" i="11" s="1"/>
  <c r="C10" i="7"/>
  <c r="E9" i="7"/>
  <c r="D9" i="7"/>
  <c r="C60" i="11" s="1"/>
  <c r="C9" i="7"/>
  <c r="E8" i="7"/>
  <c r="D8" i="7"/>
  <c r="C59" i="11" s="1"/>
  <c r="D59" i="11" s="1"/>
  <c r="C8" i="7"/>
  <c r="C32" i="6"/>
  <c r="C31" i="6"/>
  <c r="C30" i="6"/>
  <c r="C25" i="6"/>
  <c r="C17" i="6"/>
  <c r="C16" i="6"/>
  <c r="C15" i="6"/>
  <c r="C14" i="6"/>
  <c r="C11" i="6"/>
  <c r="C10" i="6"/>
  <c r="C9" i="6"/>
  <c r="C8" i="6"/>
  <c r="C7" i="6"/>
  <c r="C6" i="6"/>
  <c r="F42" i="5"/>
  <c r="E42" i="5"/>
  <c r="D42" i="5"/>
  <c r="C42" i="5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6" i="5"/>
  <c r="E36" i="5"/>
  <c r="D36" i="5"/>
  <c r="C36" i="5"/>
  <c r="F35" i="5"/>
  <c r="E35" i="5"/>
  <c r="D35" i="5"/>
  <c r="C35" i="5"/>
  <c r="F34" i="5"/>
  <c r="E34" i="5"/>
  <c r="D34" i="5"/>
  <c r="C34" i="5"/>
  <c r="F33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E26" i="5"/>
  <c r="E25" i="5"/>
  <c r="E24" i="5"/>
  <c r="E23" i="5"/>
  <c r="E22" i="5"/>
  <c r="E21" i="5"/>
  <c r="E20" i="5"/>
  <c r="E19" i="5"/>
  <c r="E18" i="5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C16" i="4"/>
  <c r="C35" i="3"/>
  <c r="F32" i="3"/>
  <c r="D26" i="5" s="1"/>
  <c r="F31" i="3"/>
  <c r="D25" i="5" s="1"/>
  <c r="F30" i="3"/>
  <c r="D24" i="5" s="1"/>
  <c r="F29" i="3"/>
  <c r="D23" i="5" s="1"/>
  <c r="F28" i="3"/>
  <c r="D22" i="5" s="1"/>
  <c r="F27" i="3"/>
  <c r="D21" i="5" s="1"/>
  <c r="F26" i="3"/>
  <c r="D20" i="5" s="1"/>
  <c r="F25" i="3"/>
  <c r="D19" i="5" s="1"/>
  <c r="F24" i="3"/>
  <c r="D18" i="5" s="1"/>
  <c r="D44" i="5" s="1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C8" i="3"/>
  <c r="G7" i="3"/>
  <c r="D60" i="11" l="1"/>
  <c r="H8" i="11"/>
  <c r="D13" i="12"/>
  <c r="F13" i="12" s="1"/>
  <c r="F24" i="11"/>
  <c r="F23" i="11"/>
  <c r="F22" i="11"/>
  <c r="F21" i="11"/>
  <c r="F20" i="11"/>
  <c r="F19" i="11"/>
  <c r="F18" i="11"/>
  <c r="C25" i="9"/>
  <c r="C24" i="9"/>
  <c r="C23" i="9"/>
  <c r="C22" i="9"/>
  <c r="C35" i="6"/>
  <c r="H11" i="11"/>
  <c r="C34" i="6"/>
  <c r="C37" i="6"/>
  <c r="G42" i="5"/>
  <c r="H42" i="5" s="1"/>
  <c r="I42" i="5" s="1"/>
  <c r="G41" i="5"/>
  <c r="H41" i="5" s="1"/>
  <c r="I41" i="5" s="1"/>
  <c r="G40" i="5"/>
  <c r="H40" i="5" s="1"/>
  <c r="I40" i="5" s="1"/>
  <c r="G39" i="5"/>
  <c r="H39" i="5" s="1"/>
  <c r="I39" i="5" s="1"/>
  <c r="G38" i="5"/>
  <c r="H38" i="5" s="1"/>
  <c r="I38" i="5" s="1"/>
  <c r="G37" i="5"/>
  <c r="H37" i="5" s="1"/>
  <c r="I37" i="5" s="1"/>
  <c r="G36" i="5"/>
  <c r="H36" i="5" s="1"/>
  <c r="I36" i="5" s="1"/>
  <c r="G35" i="5"/>
  <c r="H35" i="5" s="1"/>
  <c r="I35" i="5" s="1"/>
  <c r="G34" i="5"/>
  <c r="H34" i="5" s="1"/>
  <c r="I34" i="5" s="1"/>
  <c r="G33" i="5"/>
  <c r="H33" i="5" s="1"/>
  <c r="I33" i="5" s="1"/>
  <c r="E44" i="5"/>
  <c r="C18" i="4"/>
  <c r="C17" i="4"/>
  <c r="C9" i="3"/>
  <c r="E8" i="3"/>
  <c r="C17" i="11"/>
  <c r="J7" i="3"/>
  <c r="I7" i="3"/>
  <c r="H7" i="3"/>
  <c r="D68" i="11"/>
  <c r="D67" i="11"/>
  <c r="D66" i="11"/>
  <c r="D65" i="11"/>
  <c r="D64" i="11"/>
  <c r="D63" i="11"/>
  <c r="D62" i="11"/>
  <c r="C48" i="5" l="1"/>
  <c r="D17" i="12"/>
  <c r="F17" i="12" s="1"/>
  <c r="C19" i="4"/>
  <c r="C20" i="4" s="1"/>
  <c r="C21" i="4" s="1"/>
  <c r="C26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8" i="12"/>
  <c r="F8" i="12" s="1"/>
  <c r="E9" i="3"/>
  <c r="C10" i="3"/>
  <c r="C18" i="11"/>
  <c r="G8" i="3"/>
  <c r="D17" i="11"/>
  <c r="K7" i="3"/>
  <c r="E26" i="4" l="1"/>
  <c r="C27" i="4"/>
  <c r="G9" i="3"/>
  <c r="D18" i="11"/>
  <c r="E10" i="3"/>
  <c r="C11" i="3"/>
  <c r="C19" i="11"/>
  <c r="H8" i="3"/>
  <c r="I8" i="3"/>
  <c r="J8" i="3"/>
  <c r="F26" i="4" l="1"/>
  <c r="F18" i="5"/>
  <c r="E27" i="4"/>
  <c r="C28" i="4"/>
  <c r="I9" i="3"/>
  <c r="J9" i="3"/>
  <c r="G10" i="3"/>
  <c r="D19" i="11"/>
  <c r="E11" i="3"/>
  <c r="C12" i="3"/>
  <c r="C20" i="11"/>
  <c r="E17" i="11"/>
  <c r="H9" i="3"/>
  <c r="K8" i="3"/>
  <c r="K9" i="3" s="1"/>
  <c r="F27" i="4" l="1"/>
  <c r="F19" i="5"/>
  <c r="E28" i="4"/>
  <c r="C29" i="4"/>
  <c r="I10" i="3"/>
  <c r="J10" i="3"/>
  <c r="G11" i="3"/>
  <c r="D20" i="11"/>
  <c r="E12" i="3"/>
  <c r="C13" i="3"/>
  <c r="C21" i="11"/>
  <c r="H10" i="3"/>
  <c r="E18" i="11"/>
  <c r="F28" i="4" l="1"/>
  <c r="G28" i="4" s="1"/>
  <c r="F20" i="5"/>
  <c r="E29" i="4"/>
  <c r="C30" i="4"/>
  <c r="K10" i="3"/>
  <c r="I11" i="3"/>
  <c r="J11" i="3"/>
  <c r="G12" i="3"/>
  <c r="D21" i="11"/>
  <c r="E13" i="3"/>
  <c r="C14" i="3"/>
  <c r="C22" i="11"/>
  <c r="H11" i="3"/>
  <c r="E19" i="11"/>
  <c r="F29" i="4" l="1"/>
  <c r="G29" i="4" s="1"/>
  <c r="F21" i="5"/>
  <c r="E30" i="4"/>
  <c r="C31" i="4"/>
  <c r="I12" i="3"/>
  <c r="J12" i="3"/>
  <c r="G13" i="3"/>
  <c r="D22" i="11"/>
  <c r="E14" i="3"/>
  <c r="C15" i="3"/>
  <c r="C23" i="11"/>
  <c r="H12" i="3"/>
  <c r="E20" i="11"/>
  <c r="K11" i="3"/>
  <c r="F30" i="4" l="1"/>
  <c r="G30" i="4" s="1"/>
  <c r="F22" i="5"/>
  <c r="E31" i="4"/>
  <c r="C32" i="4"/>
  <c r="I13" i="3"/>
  <c r="J13" i="3"/>
  <c r="G14" i="3"/>
  <c r="D23" i="11"/>
  <c r="E15" i="3"/>
  <c r="C16" i="3"/>
  <c r="C24" i="11"/>
  <c r="H13" i="3"/>
  <c r="E21" i="11"/>
  <c r="K12" i="3"/>
  <c r="K13" i="3" s="1"/>
  <c r="F31" i="4" l="1"/>
  <c r="G31" i="4" s="1"/>
  <c r="F23" i="5"/>
  <c r="E32" i="4"/>
  <c r="C33" i="4"/>
  <c r="I14" i="3"/>
  <c r="K14" i="3" s="1"/>
  <c r="J14" i="3"/>
  <c r="G15" i="3"/>
  <c r="D24" i="11"/>
  <c r="E16" i="3"/>
  <c r="C17" i="3"/>
  <c r="C25" i="11"/>
  <c r="H14" i="3"/>
  <c r="E22" i="11"/>
  <c r="F32" i="4" l="1"/>
  <c r="G32" i="4" s="1"/>
  <c r="F24" i="5"/>
  <c r="E33" i="4"/>
  <c r="C34" i="4"/>
  <c r="I15" i="3"/>
  <c r="K15" i="3" s="1"/>
  <c r="J15" i="3"/>
  <c r="G16" i="3"/>
  <c r="D25" i="11"/>
  <c r="E17" i="3"/>
  <c r="C18" i="3"/>
  <c r="C26" i="11"/>
  <c r="H15" i="3"/>
  <c r="E23" i="11"/>
  <c r="F33" i="4" l="1"/>
  <c r="G33" i="4" s="1"/>
  <c r="F25" i="5"/>
  <c r="E34" i="4"/>
  <c r="C35" i="4"/>
  <c r="I16" i="3"/>
  <c r="K16" i="3" s="1"/>
  <c r="J16" i="3"/>
  <c r="G17" i="3"/>
  <c r="D26" i="11"/>
  <c r="E18" i="3"/>
  <c r="C19" i="3"/>
  <c r="C27" i="11"/>
  <c r="H16" i="3"/>
  <c r="E24" i="11"/>
  <c r="F34" i="4" l="1"/>
  <c r="G34" i="4" s="1"/>
  <c r="F26" i="5"/>
  <c r="E35" i="4"/>
  <c r="C36" i="4"/>
  <c r="I17" i="3"/>
  <c r="K17" i="3" s="1"/>
  <c r="J17" i="3"/>
  <c r="G18" i="3"/>
  <c r="D27" i="11"/>
  <c r="E19" i="3"/>
  <c r="C20" i="3"/>
  <c r="C28" i="11"/>
  <c r="H17" i="3"/>
  <c r="E25" i="11"/>
  <c r="F35" i="4" l="1"/>
  <c r="G35" i="4" s="1"/>
  <c r="F27" i="5"/>
  <c r="E36" i="4"/>
  <c r="C37" i="4"/>
  <c r="I18" i="3"/>
  <c r="K18" i="3" s="1"/>
  <c r="J18" i="3"/>
  <c r="G19" i="3"/>
  <c r="D28" i="11"/>
  <c r="E20" i="3"/>
  <c r="C21" i="3"/>
  <c r="C29" i="11"/>
  <c r="H18" i="3"/>
  <c r="E26" i="11"/>
  <c r="F36" i="4" l="1"/>
  <c r="G36" i="4" s="1"/>
  <c r="F28" i="5"/>
  <c r="E37" i="4"/>
  <c r="C38" i="4"/>
  <c r="K19" i="3"/>
  <c r="C18" i="6"/>
  <c r="I19" i="3"/>
  <c r="J19" i="3"/>
  <c r="G20" i="3"/>
  <c r="D29" i="11"/>
  <c r="E21" i="3"/>
  <c r="C22" i="3"/>
  <c r="C30" i="11"/>
  <c r="H19" i="3"/>
  <c r="E27" i="11"/>
  <c r="G28" i="5" l="1"/>
  <c r="H28" i="5" s="1"/>
  <c r="I28" i="5" s="1"/>
  <c r="F37" i="4"/>
  <c r="G37" i="4" s="1"/>
  <c r="F29" i="5"/>
  <c r="E38" i="4"/>
  <c r="C39" i="4"/>
  <c r="E9" i="12"/>
  <c r="B8" i="11"/>
  <c r="I20" i="3"/>
  <c r="K20" i="3" s="1"/>
  <c r="J20" i="3"/>
  <c r="G21" i="3"/>
  <c r="D30" i="11"/>
  <c r="E22" i="3"/>
  <c r="C23" i="3"/>
  <c r="C31" i="11"/>
  <c r="H20" i="3"/>
  <c r="E28" i="11"/>
  <c r="G29" i="5" l="1"/>
  <c r="H29" i="5" s="1"/>
  <c r="I29" i="5" s="1"/>
  <c r="F38" i="4"/>
  <c r="G38" i="4" s="1"/>
  <c r="F30" i="5"/>
  <c r="E39" i="4"/>
  <c r="C40" i="4"/>
  <c r="E40" i="4" s="1"/>
  <c r="I21" i="3"/>
  <c r="K21" i="3" s="1"/>
  <c r="J21" i="3"/>
  <c r="G22" i="3"/>
  <c r="D31" i="11"/>
  <c r="E23" i="3"/>
  <c r="C32" i="11"/>
  <c r="C24" i="3"/>
  <c r="H21" i="3"/>
  <c r="E29" i="11"/>
  <c r="G30" i="5" l="1"/>
  <c r="H30" i="5" s="1"/>
  <c r="I30" i="5"/>
  <c r="F39" i="4"/>
  <c r="G39" i="4" s="1"/>
  <c r="F31" i="5"/>
  <c r="F40" i="4"/>
  <c r="G40" i="4" s="1"/>
  <c r="F32" i="5"/>
  <c r="I22" i="3"/>
  <c r="K22" i="3" s="1"/>
  <c r="J22" i="3"/>
  <c r="G23" i="3"/>
  <c r="D32" i="11"/>
  <c r="E24" i="3"/>
  <c r="C25" i="3"/>
  <c r="C33" i="11"/>
  <c r="H22" i="3"/>
  <c r="E30" i="11"/>
  <c r="G31" i="5" l="1"/>
  <c r="H31" i="5" s="1"/>
  <c r="I31" i="5" s="1"/>
  <c r="F44" i="5"/>
  <c r="G32" i="5"/>
  <c r="H32" i="5" s="1"/>
  <c r="I32" i="5" s="1"/>
  <c r="J23" i="3"/>
  <c r="I23" i="3"/>
  <c r="K23" i="3" s="1"/>
  <c r="G24" i="3"/>
  <c r="C18" i="5"/>
  <c r="D33" i="11"/>
  <c r="E25" i="3"/>
  <c r="C26" i="3"/>
  <c r="C34" i="11"/>
  <c r="H23" i="3"/>
  <c r="E31" i="11"/>
  <c r="I24" i="3" l="1"/>
  <c r="K24" i="3" s="1"/>
  <c r="J24" i="3"/>
  <c r="G18" i="5"/>
  <c r="G25" i="3"/>
  <c r="C19" i="5"/>
  <c r="D34" i="11"/>
  <c r="E26" i="3"/>
  <c r="C27" i="3"/>
  <c r="C35" i="11"/>
  <c r="E32" i="11"/>
  <c r="H24" i="3"/>
  <c r="H18" i="5" l="1"/>
  <c r="I25" i="3"/>
  <c r="K25" i="3" s="1"/>
  <c r="J25" i="3"/>
  <c r="G19" i="5"/>
  <c r="H19" i="5" s="1"/>
  <c r="I19" i="5" s="1"/>
  <c r="C20" i="5"/>
  <c r="D35" i="11"/>
  <c r="G26" i="3"/>
  <c r="E27" i="3"/>
  <c r="C28" i="3"/>
  <c r="C36" i="11"/>
  <c r="H25" i="3"/>
  <c r="E33" i="11"/>
  <c r="I18" i="5" l="1"/>
  <c r="G20" i="5"/>
  <c r="J26" i="3"/>
  <c r="I26" i="3"/>
  <c r="K26" i="3" s="1"/>
  <c r="G27" i="3"/>
  <c r="C21" i="5"/>
  <c r="D36" i="11"/>
  <c r="E28" i="3"/>
  <c r="C29" i="3"/>
  <c r="C37" i="11"/>
  <c r="H26" i="3"/>
  <c r="E34" i="11"/>
  <c r="H20" i="5" l="1"/>
  <c r="J27" i="3"/>
  <c r="I27" i="3"/>
  <c r="K27" i="3" s="1"/>
  <c r="G21" i="5"/>
  <c r="G28" i="3"/>
  <c r="C22" i="5"/>
  <c r="D37" i="11"/>
  <c r="E29" i="3"/>
  <c r="C38" i="11"/>
  <c r="C30" i="3"/>
  <c r="H27" i="3"/>
  <c r="E35" i="11"/>
  <c r="I20" i="5" l="1"/>
  <c r="J28" i="3"/>
  <c r="I28" i="3"/>
  <c r="K28" i="3" s="1"/>
  <c r="G22" i="5"/>
  <c r="C23" i="5"/>
  <c r="G29" i="3"/>
  <c r="D38" i="11"/>
  <c r="E30" i="3"/>
  <c r="C31" i="3"/>
  <c r="C39" i="11"/>
  <c r="H28" i="3"/>
  <c r="E36" i="11"/>
  <c r="H21" i="5"/>
  <c r="I21" i="5" s="1"/>
  <c r="G23" i="5" l="1"/>
  <c r="H23" i="5" s="1"/>
  <c r="I23" i="5" s="1"/>
  <c r="J29" i="3"/>
  <c r="I29" i="3"/>
  <c r="K29" i="3" s="1"/>
  <c r="G30" i="3"/>
  <c r="D39" i="11"/>
  <c r="C24" i="5"/>
  <c r="E31" i="3"/>
  <c r="C32" i="3"/>
  <c r="C40" i="11"/>
  <c r="E37" i="11"/>
  <c r="H29" i="3"/>
  <c r="H22" i="5"/>
  <c r="I30" i="3" l="1"/>
  <c r="K30" i="3" s="1"/>
  <c r="J30" i="3"/>
  <c r="G24" i="5"/>
  <c r="H24" i="5" s="1"/>
  <c r="I24" i="5" s="1"/>
  <c r="G31" i="3"/>
  <c r="C25" i="5"/>
  <c r="D40" i="11"/>
  <c r="D10" i="12"/>
  <c r="F10" i="12" s="1"/>
  <c r="E32" i="3"/>
  <c r="C41" i="11"/>
  <c r="E38" i="11"/>
  <c r="H30" i="3"/>
  <c r="I22" i="5"/>
  <c r="C19" i="6" l="1"/>
  <c r="E8" i="11" s="1"/>
  <c r="J31" i="3"/>
  <c r="I31" i="3"/>
  <c r="K31" i="3" s="1"/>
  <c r="G25" i="5"/>
  <c r="H25" i="5" s="1"/>
  <c r="I25" i="5" s="1"/>
  <c r="E33" i="3"/>
  <c r="C27" i="5" s="1"/>
  <c r="G32" i="3"/>
  <c r="C26" i="5"/>
  <c r="D41" i="11"/>
  <c r="H31" i="3"/>
  <c r="E39" i="11"/>
  <c r="C44" i="5" l="1"/>
  <c r="G27" i="5"/>
  <c r="G33" i="3"/>
  <c r="C22" i="6"/>
  <c r="G26" i="4"/>
  <c r="J32" i="3"/>
  <c r="C23" i="6"/>
  <c r="I32" i="3"/>
  <c r="H26" i="4"/>
  <c r="G26" i="5"/>
  <c r="H26" i="5" s="1"/>
  <c r="I26" i="5"/>
  <c r="H32" i="3"/>
  <c r="C21" i="6"/>
  <c r="C24" i="6"/>
  <c r="E16" i="12" s="1"/>
  <c r="E40" i="11"/>
  <c r="G44" i="5" l="1"/>
  <c r="H27" i="5"/>
  <c r="G27" i="4"/>
  <c r="H27" i="4"/>
  <c r="C44" i="4" s="1"/>
  <c r="E11" i="11"/>
  <c r="D19" i="12"/>
  <c r="F19" i="12" s="1"/>
  <c r="F32" i="7"/>
  <c r="C20" i="6"/>
  <c r="D12" i="12"/>
  <c r="F12" i="12" s="1"/>
  <c r="F33" i="7"/>
  <c r="F35" i="7"/>
  <c r="J33" i="3"/>
  <c r="F34" i="7"/>
  <c r="C26" i="6"/>
  <c r="C27" i="6"/>
  <c r="B11" i="11"/>
  <c r="D16" i="12"/>
  <c r="F16" i="12" s="1"/>
  <c r="K32" i="3"/>
  <c r="I33" i="3"/>
  <c r="D34" i="3" s="1"/>
  <c r="D9" i="12" s="1"/>
  <c r="F9" i="12" s="1"/>
  <c r="H33" i="3"/>
  <c r="E41" i="11"/>
  <c r="I27" i="5" l="1"/>
  <c r="I44" i="5" s="1"/>
  <c r="H44" i="5"/>
  <c r="C24" i="12"/>
  <c r="C25" i="12" s="1"/>
  <c r="C23" i="12"/>
  <c r="C42" i="4"/>
  <c r="C43" i="4"/>
  <c r="D18" i="12"/>
  <c r="F18" i="12" s="1"/>
  <c r="C49" i="5" l="1"/>
  <c r="C4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<sst xmlns="http://schemas.openxmlformats.org/spreadsheetml/2006/main" count="445" uniqueCount="391">
  <si>
    <t>ANNUAL CASHFLOW ANALYSIS</t>
  </si>
  <si>
    <t>125 kWp Solar PV  ·  Ouarzazate, Morocco  ·  REF-OZZ-001</t>
  </si>
  <si>
    <t>Blue = inputs  |  Green = formula outputs  |  All formulas reference Inputs sheet</t>
  </si>
  <si>
    <t>Year</t>
  </si>
  <si>
    <t>Energy Production
(kWh)</t>
  </si>
  <si>
    <t>Electricity Price
(€/kWh)</t>
  </si>
  <si>
    <t>Gross Revenue
(€)</t>
  </si>
  <si>
    <t>O&amp;M Cost
(€)</t>
  </si>
  <si>
    <t>Net Annual
Benefit (€)</t>
  </si>
  <si>
    <t>Cumulative Net
Benefit (€)</t>
  </si>
  <si>
    <t>Discounted Net
Benefit (€)</t>
  </si>
  <si>
    <t>NCF incl. Capex
(for IRR)</t>
  </si>
  <si>
    <t>Cumulative Discounted
Net Benefit (€)</t>
  </si>
  <si>
    <t>TOTALS / NPV</t>
  </si>
  <si>
    <t>Project NPV (€)</t>
  </si>
  <si>
    <t>Helper — capex negative (for IRR formula):</t>
  </si>
  <si>
    <t>SOLAR PV FEASIBILITY STUDY</t>
  </si>
  <si>
    <t>Financial Model &amp; Summary Dashboard</t>
  </si>
  <si>
    <t>Project Details</t>
  </si>
  <si>
    <t>Client:</t>
  </si>
  <si>
    <t>[Enter Client Name]</t>
  </si>
  <si>
    <t>Location:</t>
  </si>
  <si>
    <t>Ouarzazate, Morocco</t>
  </si>
  <si>
    <t>System:</t>
  </si>
  <si>
    <t>125 kWp Grid-Tied Solar PV</t>
  </si>
  <si>
    <t>Reference:</t>
  </si>
  <si>
    <t>REF-OZZ-001</t>
  </si>
  <si>
    <t>Analyst:</t>
  </si>
  <si>
    <t>[Enter Analyst Name]</t>
  </si>
  <si>
    <t>Date:</t>
  </si>
  <si>
    <t>May 2026</t>
  </si>
  <si>
    <t>Version:</t>
  </si>
  <si>
    <t>v3.1 Professional</t>
  </si>
  <si>
    <t>MODEL CONTENTS</t>
  </si>
  <si>
    <t>Cover</t>
  </si>
  <si>
    <t>Project overview and model navigation</t>
  </si>
  <si>
    <t>Inputs</t>
  </si>
  <si>
    <t>All editable assumptions (blue cells)</t>
  </si>
  <si>
    <t>Annual Cashflow</t>
  </si>
  <si>
    <t>25-year project cashflow with NPV and IRR</t>
  </si>
  <si>
    <t>Debt &amp; Equity</t>
  </si>
  <si>
    <t>Financing structure, debt service, DSCR</t>
  </si>
  <si>
    <t>Tax &amp; Depreciation</t>
  </si>
  <si>
    <t>Corporate tax, depreciation schedule</t>
  </si>
  <si>
    <t>Summary</t>
  </si>
  <si>
    <t>Key performance indicators dashboard</t>
  </si>
  <si>
    <t>Sensitivity Analysis</t>
  </si>
  <si>
    <t>Tariff, CapEx, yield, and discount rate sensitivities</t>
  </si>
  <si>
    <t>Scenario Analysis</t>
  </si>
  <si>
    <t>Conservative / Base / Optimistic scenario comparison</t>
  </si>
  <si>
    <t>Monthly Production</t>
  </si>
  <si>
    <t>Year 1 monthly energy profile from SAM</t>
  </si>
  <si>
    <t>Risk Matrix</t>
  </si>
  <si>
    <t>Qualitative risk register with mitigation measures</t>
  </si>
  <si>
    <t>Charts &amp; Dashboard</t>
  </si>
  <si>
    <t>Visual KPIs and chart data tables</t>
  </si>
  <si>
    <t>Model Checks</t>
  </si>
  <si>
    <t>Audit validation checks and error detection</t>
  </si>
  <si>
    <t>COLOUR KEY</t>
  </si>
  <si>
    <t>■  Blue text</t>
  </si>
  <si>
    <t>Hardcoded input (user-editable assumption)</t>
  </si>
  <si>
    <t>■  Green text</t>
  </si>
  <si>
    <t>Formula-driven output (do not edit)</t>
  </si>
  <si>
    <t>■  Gold text</t>
  </si>
  <si>
    <t>Cross-sheet link</t>
  </si>
  <si>
    <t>■  Red text</t>
  </si>
  <si>
    <t>Critical value / warning</t>
  </si>
  <si>
    <t>IMPORTANT NOTES</t>
  </si>
  <si>
    <t>1. All assumptions are centralized in the 'Inputs' sheet.</t>
  </si>
  <si>
    <t>2. Do not edit green cells — they contain formulas.</t>
  </si>
  <si>
    <t>3. The model uses a real discount rate (excludes inflation).</t>
  </si>
  <si>
    <t>4. Debt &amp; Equity sheet assumes equal principal repayment.</t>
  </si>
  <si>
    <t>5. Tax sheet assumes straight-line depreciation over 20 years.</t>
  </si>
  <si>
    <t>6. Run 'Model Checks' after any assumption change.</t>
  </si>
  <si>
    <t>7. All monetary values are in Euros (€) unless noted.</t>
  </si>
  <si>
    <t>PROJECT INPUTS</t>
  </si>
  <si>
    <t>All blue values are editable assumptions — all other sheets link to this sheet</t>
  </si>
  <si>
    <t>Parameter</t>
  </si>
  <si>
    <t>Value</t>
  </si>
  <si>
    <t>Unit</t>
  </si>
  <si>
    <t xml:space="preserve">  TECHNICAL PARAMETERS</t>
  </si>
  <si>
    <t>System Capacity</t>
  </si>
  <si>
    <t>kWp</t>
  </si>
  <si>
    <t>Number of Modules</t>
  </si>
  <si>
    <t>units</t>
  </si>
  <si>
    <t>Module Rating</t>
  </si>
  <si>
    <t>Wp</t>
  </si>
  <si>
    <t>Annual Energy Production — Year 1</t>
  </si>
  <si>
    <t>kWh/year</t>
  </si>
  <si>
    <t>System Performance Ratio</t>
  </si>
  <si>
    <t>—</t>
  </si>
  <si>
    <t>System Capacity Factor</t>
  </si>
  <si>
    <t>Annual Degradation Rate</t>
  </si>
  <si>
    <t>—/year</t>
  </si>
  <si>
    <t>Total System Losses</t>
  </si>
  <si>
    <t xml:space="preserve">  FINANCIAL PARAMETERS</t>
  </si>
  <si>
    <t>Total Installed System Cost</t>
  </si>
  <si>
    <t>€</t>
  </si>
  <si>
    <t>Annual O&amp;M Cost</t>
  </si>
  <si>
    <t>€/year</t>
  </si>
  <si>
    <t>Electricity Tariff — Year 1</t>
  </si>
  <si>
    <t>€/kWh</t>
  </si>
  <si>
    <t>Annual Electricity Price Escalation</t>
  </si>
  <si>
    <t>Real Discount Rate</t>
  </si>
  <si>
    <t>Project Lifetime</t>
  </si>
  <si>
    <t>years</t>
  </si>
  <si>
    <t xml:space="preserve">  ENVIRONMENTAL PARAMETERS</t>
  </si>
  <si>
    <t>Grid Emission Factor (Morocco)</t>
  </si>
  <si>
    <t>kg CO₂/kWh</t>
  </si>
  <si>
    <t>Diesel Emission Factor</t>
  </si>
  <si>
    <t>kg CO₂/litre</t>
  </si>
  <si>
    <t>Diesel Share of Current Electricity</t>
  </si>
  <si>
    <t>Grid Share of Current Electricity</t>
  </si>
  <si>
    <t>Note: Yellow cells are key assumptions most likely to affect project viability. All formula sheets reference column C of this sheet directly.</t>
  </si>
  <si>
    <t>DEBT &amp; EQUITY FINANCING</t>
  </si>
  <si>
    <t>FINANCING PARAMETERS</t>
  </si>
  <si>
    <t>Debt Share (% of CapEx)</t>
  </si>
  <si>
    <t>Equity Share (% of CapEx)</t>
  </si>
  <si>
    <t>Loan Interest Rate (nominal)</t>
  </si>
  <si>
    <t>Loan Tenor</t>
  </si>
  <si>
    <t>Debt Service Reserve (months)</t>
  </si>
  <si>
    <t>months</t>
  </si>
  <si>
    <t>Upfront Fee (% of loan)</t>
  </si>
  <si>
    <t>Commitment Fee (% of undrawn)</t>
  </si>
  <si>
    <t>FINANCING STRUCTURE</t>
  </si>
  <si>
    <t>Total Project Cost (€)</t>
  </si>
  <si>
    <t>Total Debt Amount (€)</t>
  </si>
  <si>
    <t>Total Equity Amount (€)</t>
  </si>
  <si>
    <t>Upfront Fee (€)</t>
  </si>
  <si>
    <t>Total Financing Required (€)</t>
  </si>
  <si>
    <t>Equity as % of Total</t>
  </si>
  <si>
    <t>DEBT SERVICE SCHEDULE</t>
  </si>
  <si>
    <t>Opening Balance (€)</t>
  </si>
  <si>
    <t>Principal (€)</t>
  </si>
  <si>
    <t>Interest (€)</t>
  </si>
  <si>
    <t>Total Debt Service (€)</t>
  </si>
  <si>
    <t>DSCR</t>
  </si>
  <si>
    <t>CFADS (€)</t>
  </si>
  <si>
    <t>Minimum DSCR</t>
  </si>
  <si>
    <t>Average DSCR</t>
  </si>
  <si>
    <t>LLCR (Loan Life Coverage Ratio)</t>
  </si>
  <si>
    <t>TAX &amp; DEPRECIATION ANALYSIS</t>
  </si>
  <si>
    <t>TAX PARAMETERS</t>
  </si>
  <si>
    <t>Corporate Tax Rate</t>
  </si>
  <si>
    <t>Depreciation Method</t>
  </si>
  <si>
    <t>Straight-Line</t>
  </si>
  <si>
    <t>Depreciation Period</t>
  </si>
  <si>
    <t>Tax Holiday (years)</t>
  </si>
  <si>
    <t>VAT Rate</t>
  </si>
  <si>
    <t>VAT Recoverable on CapEx</t>
  </si>
  <si>
    <t>YES</t>
  </si>
  <si>
    <t>TAX SCHEDULE</t>
  </si>
  <si>
    <t>Gross Revenue (€)</t>
  </si>
  <si>
    <t>O&amp;M Cost (€)</t>
  </si>
  <si>
    <t>Depreciation (€)</t>
  </si>
  <si>
    <t>Taxable Income (€)</t>
  </si>
  <si>
    <t>Tax Payable (€)</t>
  </si>
  <si>
    <t>Net Income (€)</t>
  </si>
  <si>
    <t>TOTALS</t>
  </si>
  <si>
    <t>KEY TAX METRICS</t>
  </si>
  <si>
    <t>Total Tax Paid (25 years)</t>
  </si>
  <si>
    <t>Total Depreciation Claimed</t>
  </si>
  <si>
    <t>Effective Tax Rate (avg)</t>
  </si>
  <si>
    <t>PROJECT SUMMARY DASHBOARD</t>
  </si>
  <si>
    <t>125 kWp Solar PV  ·  Ouarzazate, Morocco  ·  REF-OZZ-001  ·  v2.0</t>
  </si>
  <si>
    <t xml:space="preserve">    TECHNICAL RESULTS</t>
  </si>
  <si>
    <t>25-Year Total Energy Production</t>
  </si>
  <si>
    <t>Capacity Factor</t>
  </si>
  <si>
    <t>Performance Ratio</t>
  </si>
  <si>
    <t xml:space="preserve">    FINANCIAL RESULTS</t>
  </si>
  <si>
    <t>Year 1 Gross Revenue</t>
  </si>
  <si>
    <t>Year 1 Net Annual Savings</t>
  </si>
  <si>
    <t>Simple Payback Period</t>
  </si>
  <si>
    <t>Discounted Payback Period</t>
  </si>
  <si>
    <t>Net Present Value (25 years)</t>
  </si>
  <si>
    <t>Internal Rate of Return (IRR)</t>
  </si>
  <si>
    <t>25-Year Cumulative Net Benefit</t>
  </si>
  <si>
    <t>Benefit-Cost Ratio (BCR)</t>
  </si>
  <si>
    <t>25-Year Gross Savings</t>
  </si>
  <si>
    <t>25-Year Investment Multiple (MOIC)</t>
  </si>
  <si>
    <t>Levelized Cost of Energy (LCOE)</t>
  </si>
  <si>
    <t>Current Blended Tariff</t>
  </si>
  <si>
    <t>LCOE vs. Blended Tariff (% reduction)</t>
  </si>
  <si>
    <t xml:space="preserve">    ENVIRONMENTAL RESULTS</t>
  </si>
  <si>
    <t>Annual CO₂ Savings — Grid</t>
  </si>
  <si>
    <t>Annual CO₂ Savings — Diesel</t>
  </si>
  <si>
    <t>Total Annual CO₂ Savings — Year 1</t>
  </si>
  <si>
    <t>Equivalent Trees Planted — Annual</t>
  </si>
  <si>
    <t>Lifetime CO₂ Savings per € Invested</t>
  </si>
  <si>
    <t>25-Year Lifetime CO₂ Savings</t>
  </si>
  <si>
    <t>Equivalent Passenger Cars — Annual</t>
  </si>
  <si>
    <t>SENSITIVITY ANALYSIS</t>
  </si>
  <si>
    <t>Impact of key variable changes on project returns (all other inputs held at base case)</t>
  </si>
  <si>
    <t>Note: Values below are calculated independently of the main cashflow sheet, using embedded formulas for each scenario.</t>
  </si>
  <si>
    <t>Scenario</t>
  </si>
  <si>
    <t>Payback (yrs)</t>
  </si>
  <si>
    <t>NPV (€)</t>
  </si>
  <si>
    <t>MOIC (x)</t>
  </si>
  <si>
    <t>IRR (%)</t>
  </si>
  <si>
    <t>A — ELECTRICITY TARIFF SENSITIVITY</t>
  </si>
  <si>
    <t>Tariff −20%  (€0.208/kWh)</t>
  </si>
  <si>
    <t>Tariff −10%  (€0.234/kWh)</t>
  </si>
  <si>
    <t>Base Case  (€0.260/kWh)</t>
  </si>
  <si>
    <t>Tariff +10%  (€0.286/kWh)</t>
  </si>
  <si>
    <t>Tariff +20%  (€0.312/kWh)</t>
  </si>
  <si>
    <t>B — CAPITAL COST SENSITIVITY</t>
  </si>
  <si>
    <t>CapEx +30%  (€89,440)</t>
  </si>
  <si>
    <t>CapEx +20%  (€82,560)</t>
  </si>
  <si>
    <t>CapEx +10%  (€75,680)</t>
  </si>
  <si>
    <t>Base Case  (€68,800)</t>
  </si>
  <si>
    <t>CapEx −10%  (€61,920)</t>
  </si>
  <si>
    <t>CapEx −20%  (€55,040)</t>
  </si>
  <si>
    <t>C — ENERGY PRODUCTION / YIELD UNCERTAINTY</t>
  </si>
  <si>
    <t>P90 — Production −15%  (202,817 kWh)</t>
  </si>
  <si>
    <t>P90 — Production −10%  (214,748 kWh)</t>
  </si>
  <si>
    <t>P50 — Base Case  (238,609 kWh)</t>
  </si>
  <si>
    <t>Production +5%  (250,539 kWh)</t>
  </si>
  <si>
    <t>D — DISCOUNT RATE SENSITIVITY</t>
  </si>
  <si>
    <t>Discount Rate 3%</t>
  </si>
  <si>
    <t>Discount Rate 5%  (Base Case)</t>
  </si>
  <si>
    <t>Discount Rate 8%</t>
  </si>
  <si>
    <t>Discount Rate 10%</t>
  </si>
  <si>
    <t>Note: Payback = CapEx ÷ Year 1 Net Benefit. NPV discounted at scenario discount rate. MOIC = 25-year cumulative net benefit ÷ CapEx (undiscounted multiple). Gold rows = base case.</t>
  </si>
  <si>
    <t>MONTHLY AC ENERGY PRODUCTION</t>
  </si>
  <si>
    <t>Year 1 — SAM Simulation (TMY dataset, Ouarzazate)</t>
  </si>
  <si>
    <t>Note: Monthly sum (239,106 kWh) differs from SAM annual total (238,609 kWh) by 497 kWh (0.21%) due to SAM internal rounding in monthly export vs. annual simulation output.</t>
  </si>
  <si>
    <t>Month</t>
  </si>
  <si>
    <t>AC Energy (kWh)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</si>
  <si>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</si>
  <si>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</si>
  <si>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</si>
  <si>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</si>
  <si>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</si>
  <si>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</si>
  <si>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</si>
  <si>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</si>
  <si>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</si>
  <si>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</si>
  <si>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</si>
  <si>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</si>
  <si>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— Year 1 (monthly sum)</t>
  </si>
  <si>
    <t>SAM Annual Total (reference)</t>
  </si>
  <si>
    <t>Peak months (March–April) highlighted in green. Minimum: November (18,599 kWh), Maximum: April (22,243 kWh).</t>
  </si>
  <si>
    <t>RISK REGISTER &amp; MITIGATION</t>
  </si>
  <si>
    <t>QUALITATIVE RISK ASSESSMENT</t>
  </si>
  <si>
    <t>Risk ID</t>
  </si>
  <si>
    <t>Risk Category</t>
  </si>
  <si>
    <t>Risk Description</t>
  </si>
  <si>
    <t>Probability (1-5)</t>
  </si>
  <si>
    <t>Impact (1-5)</t>
  </si>
  <si>
    <t>Risk Score</t>
  </si>
  <si>
    <t>Risk Level</t>
  </si>
  <si>
    <t>Mitigation Measure</t>
  </si>
  <si>
    <t>Residual Risk</t>
  </si>
  <si>
    <t>R-01</t>
  </si>
  <si>
    <t>Technical</t>
  </si>
  <si>
    <t>Lower-than-expected energy yield (soiling, shading)</t>
  </si>
  <si>
    <t>Regular cleaning schedule, performance monitoring</t>
  </si>
  <si>
    <t>Medium</t>
  </si>
  <si>
    <t>R-02</t>
  </si>
  <si>
    <t>Module degradation higher than 0.5%/year</t>
  </si>
  <si>
    <t>Tier-1 module warranty, IV curve tracing</t>
  </si>
  <si>
    <t>Low</t>
  </si>
  <si>
    <t>R-03</t>
  </si>
  <si>
    <t>Inverter failure / downtime</t>
  </si>
  <si>
    <t>String inverters with remote monitoring, spare parts</t>
  </si>
  <si>
    <t>R-04</t>
  </si>
  <si>
    <t>Financial</t>
  </si>
  <si>
    <t>Electricity tariff reduction or subsidy removal</t>
  </si>
  <si>
    <t>Long-term PPA, diversify revenue streams</t>
  </si>
  <si>
    <t>High</t>
  </si>
  <si>
    <t>R-05</t>
  </si>
  <si>
    <t>Currency devaluation (MAD vs EUR)</t>
  </si>
  <si>
    <t>EUR-denominated tariff or hedging</t>
  </si>
  <si>
    <t>R-06</t>
  </si>
  <si>
    <t>Interest rate increase on debt</t>
  </si>
  <si>
    <t>Fixed-rate loan, interest rate cap</t>
  </si>
  <si>
    <t>R-07</t>
  </si>
  <si>
    <t>Regulatory</t>
  </si>
  <si>
    <t>Change in tax incentives or import duties</t>
  </si>
  <si>
    <t>Local content requirements compliance</t>
  </si>
  <si>
    <t>R-08</t>
  </si>
  <si>
    <t>Environmental</t>
  </si>
  <si>
    <t>Extreme weather events (sandstorms, hail)</t>
  </si>
  <si>
    <t>Robust structural design, insurance coverage</t>
  </si>
  <si>
    <t>R-09</t>
  </si>
  <si>
    <t>Operational</t>
  </si>
  <si>
    <t>O&amp;M cost escalation above inflation</t>
  </si>
  <si>
    <t>Fixed-price O&amp;M contract (years 1-5)</t>
  </si>
  <si>
    <t>R-10</t>
  </si>
  <si>
    <t>Theft or vandalism of equipment</t>
  </si>
  <si>
    <t>Security fencing, CCTV, insurance</t>
  </si>
  <si>
    <t>RISK SUMMARY</t>
  </si>
  <si>
    <t>Total Risks Identified</t>
  </si>
  <si>
    <t>Critical Risks</t>
  </si>
  <si>
    <t>High Risks</t>
  </si>
  <si>
    <t>Medium Risks</t>
  </si>
  <si>
    <t>Low Risks</t>
  </si>
  <si>
    <t>Average Risk Score</t>
  </si>
  <si>
    <t>SCENARIO ANALYSIS</t>
  </si>
  <si>
    <t>COMPARATIVE SCENARIO OUTPUTS</t>
  </si>
  <si>
    <t>Metric</t>
  </si>
  <si>
    <t>Conservative</t>
  </si>
  <si>
    <t>Base Case</t>
  </si>
  <si>
    <t>Optimistic</t>
  </si>
  <si>
    <t>ASSUMPTIONS</t>
  </si>
  <si>
    <t>Energy Yield (kWh/kWp/year)</t>
  </si>
  <si>
    <t>kWh/kWp</t>
  </si>
  <si>
    <t>CapEx (€/kW)</t>
  </si>
  <si>
    <t>€/kW</t>
  </si>
  <si>
    <t>Electricity Tariff (€/kWh)</t>
  </si>
  <si>
    <t>O&amp;M Cost (€/kW/year)</t>
  </si>
  <si>
    <t>€/kW/year</t>
  </si>
  <si>
    <t>Discount Rate</t>
  </si>
  <si>
    <t>Degradation Rate</t>
  </si>
  <si>
    <t>OUTPUT METRICS</t>
  </si>
  <si>
    <t>Simple Payback (yrs)</t>
  </si>
  <si>
    <t>LCOE (€/kWh)</t>
  </si>
  <si>
    <t>25-Year Gross Revenue (€)</t>
  </si>
  <si>
    <t>VISUAL DASHBOARD</t>
  </si>
  <si>
    <t>KEY PERFORMANCE INDICATORS</t>
  </si>
  <si>
    <t>NPV (25 yr)</t>
  </si>
  <si>
    <t>IRR</t>
  </si>
  <si>
    <t>Simple Payback</t>
  </si>
  <si>
    <t>LCOE</t>
  </si>
  <si>
    <t>MOIC</t>
  </si>
  <si>
    <t>25-Yr CO₂ Savings</t>
  </si>
  <si>
    <t>CHART DATA</t>
  </si>
  <si>
    <t>Energy (kWh)</t>
  </si>
  <si>
    <t>Revenue (€)</t>
  </si>
  <si>
    <t>Cumulative Net (€)</t>
  </si>
  <si>
    <t>CapEx</t>
  </si>
  <si>
    <t>Production (kWh)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</si>
  <si>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</si>
  <si>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</si>
  <si>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</si>
  <si>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</si>
  <si>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</si>
  <si>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</si>
  <si>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</si>
  <si>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</si>
  <si>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</si>
  <si>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</si>
  <si>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</si>
  <si>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NPV Change (€)</t>
  </si>
  <si>
    <t>Tariff -20%</t>
  </si>
  <si>
    <t>Tariff -10%</t>
  </si>
  <si>
    <t>Tariff +10%</t>
  </si>
  <si>
    <t>Tariff +20%</t>
  </si>
  <si>
    <t>CapEx +30%</t>
  </si>
  <si>
    <t>CapEx +20%</t>
  </si>
  <si>
    <t>CapEx +10%</t>
  </si>
  <si>
    <t>CapEx -10%</t>
  </si>
  <si>
    <t>CapEx -20%</t>
  </si>
  <si>
    <t>MODEL AUDIT &amp; VALIDATION CHECKS</t>
  </si>
  <si>
    <t>125 kWp Solar PV  ·  Ouarzazate, Morocco  · REF-OZZ-001</t>
  </si>
  <si>
    <t>CIRCULARITY &amp; ERROR CHECKS</t>
  </si>
  <si>
    <t>Check ID</t>
  </si>
  <si>
    <t>Description</t>
  </si>
  <si>
    <t>Formula / Test</t>
  </si>
  <si>
    <t>Result</t>
  </si>
  <si>
    <t>Status</t>
  </si>
  <si>
    <t>CHK-01</t>
  </si>
  <si>
    <t>CapEx = Debt + Equity</t>
  </si>
  <si>
    <t>CHK-02</t>
  </si>
  <si>
    <t>NPV consistency (Cashflow vs Summary)</t>
  </si>
  <si>
    <t>CHK-03</t>
  </si>
  <si>
    <t>Total Energy = Sum of Annual</t>
  </si>
  <si>
    <t>CHK-04</t>
  </si>
  <si>
    <t>Year 1 Energy = Input</t>
  </si>
  <si>
    <t>CHK-05</t>
  </si>
  <si>
    <t>IRR stream includes Year 0</t>
  </si>
  <si>
    <t>CHK-06</t>
  </si>
  <si>
    <t>Simple Payback &lt; Project Lifetime</t>
  </si>
  <si>
    <t>CHK-07</t>
  </si>
  <si>
    <t>Discount Rate &gt; 0</t>
  </si>
  <si>
    <t>CHK-08</t>
  </si>
  <si>
    <t>Degradation Rate &lt; 2%</t>
  </si>
  <si>
    <t>CHK-09</t>
  </si>
  <si>
    <t>LCOE &lt; Blended Tariff</t>
  </si>
  <si>
    <t>CHK-10</t>
  </si>
  <si>
    <t>Total Depreciation ≤ CapEx</t>
  </si>
  <si>
    <t>CHK-11</t>
  </si>
  <si>
    <t>Debt Service ≤ CFADS (all years)</t>
  </si>
  <si>
    <t>CHK-12</t>
  </si>
  <si>
    <t>MOIC &gt; 1.0 (project viable)</t>
  </si>
  <si>
    <t>VALIDATION SUMMARY</t>
  </si>
  <si>
    <t>Total Checks</t>
  </si>
  <si>
    <t>Checks Passed</t>
  </si>
  <si>
    <t>Checks Failed</t>
  </si>
  <si>
    <t>Model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</si>
</sst>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%"/>
    <numFmt numFmtId="165" formatCode="\€#,##0"/>
    <numFmt numFmtId="166" formatCode="\€0.0000"/>
    <numFmt numFmtId="167" formatCode="0.000"/>
    <numFmt numFmtId="168" formatCode="0.00&quot; years&quot;"/>
    <numFmt numFmtId="169" formatCode="0.0\x"/>
    <numFmt numFmtId="170" formatCode="\€0.0000&quot;/kWh&quot;"/>
    <numFmt numFmtId="171" formatCode="\€0.000&quot;/kWh&quot;"/>
    <numFmt numFmtId="172" formatCode="#,##0.0&quot; t CO₂&quot;"/>
    <numFmt numFmtId="173" formatCode="#,##0&quot; t CO₂&quot;"/>
    <numFmt numFmtId="174" formatCode="#,##0.0"/>
    <numFmt numFmtId="175" formatCode="0.0"/>
    <numFmt numFmtId="176" formatCode="0.00&quot; yrs&quot;"/>
    <numFmt numFmtId="177" formatCode="0.00&quot;x&quot;"/>
    <numFmt numFmtId="178" formatCode="#,##0&quot; tonnes&quot;"/>
  </numFmts>
  <fonts count="35">
    <font>
      <sz val="11"/>
      <color theme="1"/>
      <name val="Calibri"/>
      <family val="2"/>
      <charset val="1"/>
    </font>
    <font>
      <b/>
      <sz val="20"/>
      <color rgb="FF1B3A5C"/>
      <name val="Arial"/>
      <charset val="1"/>
    </font>
    <font>
      <b/>
      <sz val="10"/>
      <color rgb="FF1B3A5C"/>
      <name val="Arial"/>
      <charset val="1"/>
    </font>
    <font>
      <sz val="10"/>
      <color rgb="FF404040"/>
      <name val="Arial"/>
      <charset val="1"/>
    </font>
    <font>
      <sz val="10"/>
      <color rgb="FF0000FF"/>
      <name val="Arial"/>
      <charset val="1"/>
    </font>
    <font>
      <sz val="10"/>
      <color rgb="FF1F7A4D"/>
      <name val="Arial"/>
      <charset val="1"/>
    </font>
    <font>
      <b/>
      <sz val="14"/>
      <color rgb="FF1B3A5C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i/>
      <sz val="8"/>
      <color rgb="FF40404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F7A4D"/>
      <name val="Arial"/>
      <charset val="1"/>
    </font>
    <font>
      <b/>
      <sz val="10"/>
      <color rgb="FF404040"/>
      <name val="Arial"/>
      <charset val="1"/>
    </font>
    <font>
      <sz val="9"/>
      <color rgb="FF404040"/>
      <name val="Arial"/>
      <charset val="1"/>
    </font>
    <font>
      <sz val="10"/>
      <color rgb="FF1B3A5C"/>
      <name val="Arial"/>
      <charset val="1"/>
    </font>
    <font>
      <b/>
      <sz val="9"/>
      <color rgb="FF2E75B6"/>
      <name val="Arial"/>
      <charset val="1"/>
    </font>
    <font>
      <b/>
      <sz val="10"/>
      <color rgb="FFC9A227"/>
      <name val="Arial"/>
      <charset val="1"/>
    </font>
    <font>
      <b/>
      <sz val="11"/>
      <name val="Calibri"/>
    </font>
    <font>
      <b/>
      <sz val="11"/>
      <color rgb="FF006100"/>
      <name val="Calibri"/>
    </font>
    <font>
      <b/>
      <sz val="14"/>
      <color rgb="FF1F4E78"/>
      <name val="Calibri"/>
    </font>
    <font>
      <i/>
      <sz val="11"/>
      <color rgb="FF666666"/>
      <name val="Calibri"/>
    </font>
    <font>
      <b/>
      <sz val="11"/>
      <color rgb="FF1F4E78"/>
      <name val="Calibri"/>
    </font>
    <font>
      <sz val="11"/>
      <color rgb="FF0070C0"/>
      <name val="Calibri"/>
    </font>
    <font>
      <sz val="11"/>
      <color rgb="FF006100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4"/>
      <color rgb="FF006100"/>
      <name val="Calibri"/>
    </font>
    <font>
      <b/>
      <sz val="12"/>
      <name val="Calibri"/>
    </font>
    <font>
      <b/>
      <sz val="18"/>
      <color rgb="FF1F4E78"/>
      <name val="Calibri"/>
    </font>
    <font>
      <sz val="14"/>
      <color rgb="FF666666"/>
      <name val="Calibri"/>
    </font>
    <font>
      <b/>
      <sz val="11"/>
      <color rgb="FF0070C0"/>
      <name val="Calibri"/>
    </font>
    <font>
      <b/>
      <sz val="11"/>
      <color rgb="FFC65911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EBF3FA"/>
        <bgColor rgb="FFEBF7F1"/>
      </patternFill>
    </fill>
    <fill>
      <patternFill patternType="solid">
        <fgColor rgb="FFFFFFFF"/>
        <bgColor rgb="FFF5F5F5"/>
      </patternFill>
    </fill>
    <fill>
      <patternFill patternType="solid">
        <fgColor rgb="FFFDF6DC"/>
        <bgColor rgb="FFF5F5F5"/>
      </patternFill>
    </fill>
    <fill>
      <patternFill patternType="solid">
        <fgColor rgb="FFEBF7F1"/>
        <bgColor rgb="FFEBF3FA"/>
      </patternFill>
    </fill>
    <fill>
      <patternFill patternType="solid">
        <fgColor rgb="FFF5F5F5"/>
        <bgColor rgb="FFEBF7F1"/>
      </patternFill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  <fill>
      <patternFill patternType="solid">
        <fgColor rgb="FFE2EFDA"/>
        <bgColor rgb="FF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/>
      <right/>
      <top/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B3A5C"/>
      </top>
      <bottom style="thin">
        <color rgb="FF1B3A5C"/>
      </bottom>
      <diagonal/>
    </border>
    <border>
      <left/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1B3A5C"/>
      </left>
      <right/>
      <top style="thin">
        <color rgb="FF1B3A5C"/>
      </top>
      <bottom style="thin">
        <color rgb="FF1B3A5C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8" fillId="2" borderId="4" xfId="0" applyFont="1" applyFill="1" applyBorder="1" applyAlignment="1">
      <alignment horizontal="left" vertical="center"/>
    </xf>
    <xf numFmtId="0" fontId="0" fillId="2" borderId="0" xfId="0" applyFill="1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2" xfId="0" applyBorder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horizontal="right" vertical="center"/>
    </xf>
    <xf numFmtId="0" fontId="7" fillId="6" borderId="5" xfId="0" applyFont="1" applyFill="1" applyBorder="1" applyAlignment="1">
      <alignment horizontal="left" vertical="center"/>
    </xf>
    <xf numFmtId="3" fontId="9" fillId="6" borderId="5" xfId="0" applyNumberFormat="1" applyFont="1" applyFill="1" applyBorder="1" applyAlignment="1">
      <alignment horizontal="right" vertical="center"/>
    </xf>
    <xf numFmtId="164" fontId="9" fillId="5" borderId="5" xfId="0" applyNumberFormat="1" applyFont="1" applyFill="1" applyBorder="1" applyAlignment="1">
      <alignment horizontal="right" vertical="center"/>
    </xf>
    <xf numFmtId="164" fontId="9" fillId="6" borderId="5" xfId="0" applyNumberFormat="1" applyFont="1" applyFill="1" applyBorder="1" applyAlignment="1">
      <alignment horizontal="right" vertical="center"/>
    </xf>
    <xf numFmtId="10" fontId="9" fillId="5" borderId="5" xfId="0" applyNumberFormat="1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left" vertical="center"/>
    </xf>
    <xf numFmtId="165" fontId="9" fillId="3" borderId="5" xfId="0" applyNumberFormat="1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/>
    </xf>
    <xf numFmtId="165" fontId="9" fillId="6" borderId="5" xfId="0" applyNumberFormat="1" applyFont="1" applyFill="1" applyBorder="1" applyAlignment="1">
      <alignment horizontal="right" vertical="center"/>
    </xf>
    <xf numFmtId="166" fontId="9" fillId="3" borderId="5" xfId="0" applyNumberFormat="1" applyFont="1" applyFill="1" applyBorder="1" applyAlignment="1">
      <alignment horizontal="right" vertical="center"/>
    </xf>
    <xf numFmtId="164" fontId="9" fillId="3" borderId="5" xfId="0" applyNumberFormat="1" applyFont="1" applyFill="1" applyBorder="1" applyAlignment="1">
      <alignment horizontal="right" vertical="center"/>
    </xf>
    <xf numFmtId="167" fontId="9" fillId="5" borderId="5" xfId="0" applyNumberFormat="1" applyFont="1" applyFill="1" applyBorder="1" applyAlignment="1">
      <alignment horizontal="right" vertical="center"/>
    </xf>
    <xf numFmtId="2" fontId="9" fillId="6" borderId="5" xfId="0" applyNumberFormat="1" applyFont="1" applyFill="1" applyBorder="1" applyAlignment="1">
      <alignment horizontal="right" vertical="center"/>
    </xf>
    <xf numFmtId="9" fontId="9" fillId="5" borderId="5" xfId="0" applyNumberFormat="1" applyFont="1" applyFill="1" applyBorder="1" applyAlignment="1">
      <alignment horizontal="right" vertical="center"/>
    </xf>
    <xf numFmtId="9" fontId="9" fillId="6" borderId="5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right" vertical="center"/>
    </xf>
    <xf numFmtId="166" fontId="5" fillId="5" borderId="5" xfId="0" applyNumberFormat="1" applyFont="1" applyFill="1" applyBorder="1" applyAlignment="1">
      <alignment horizontal="right" vertical="center"/>
    </xf>
    <xf numFmtId="165" fontId="5" fillId="5" borderId="5" xfId="0" applyNumberFormat="1" applyFont="1" applyFill="1" applyBorder="1" applyAlignment="1">
      <alignment horizontal="right" vertical="center"/>
    </xf>
    <xf numFmtId="165" fontId="3" fillId="5" borderId="5" xfId="0" applyNumberFormat="1" applyFont="1" applyFill="1" applyBorder="1" applyAlignment="1">
      <alignment horizontal="right" vertical="center"/>
    </xf>
    <xf numFmtId="165" fontId="13" fillId="5" borderId="5" xfId="0" applyNumberFormat="1" applyFont="1" applyFill="1" applyBorder="1" applyAlignment="1">
      <alignment horizontal="right" vertical="center"/>
    </xf>
    <xf numFmtId="165" fontId="2" fillId="5" borderId="5" xfId="0" applyNumberFormat="1" applyFont="1" applyFill="1" applyBorder="1" applyAlignment="1">
      <alignment horizontal="right" vertical="center"/>
    </xf>
    <xf numFmtId="165" fontId="14" fillId="5" borderId="5" xfId="0" applyNumberFormat="1" applyFont="1" applyFill="1" applyBorder="1" applyAlignment="1">
      <alignment horizontal="right" vertical="center"/>
    </xf>
    <xf numFmtId="0" fontId="2" fillId="6" borderId="5" xfId="0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right" vertical="center"/>
    </xf>
    <xf numFmtId="166" fontId="5" fillId="6" borderId="5" xfId="0" applyNumberFormat="1" applyFont="1" applyFill="1" applyBorder="1" applyAlignment="1">
      <alignment horizontal="right" vertical="center"/>
    </xf>
    <xf numFmtId="165" fontId="5" fillId="6" borderId="5" xfId="0" applyNumberFormat="1" applyFont="1" applyFill="1" applyBorder="1" applyAlignment="1">
      <alignment horizontal="right" vertical="center"/>
    </xf>
    <xf numFmtId="165" fontId="3" fillId="6" borderId="5" xfId="0" applyNumberFormat="1" applyFont="1" applyFill="1" applyBorder="1" applyAlignment="1">
      <alignment horizontal="right" vertical="center"/>
    </xf>
    <xf numFmtId="165" fontId="13" fillId="6" borderId="5" xfId="0" applyNumberFormat="1" applyFont="1" applyFill="1" applyBorder="1" applyAlignment="1">
      <alignment horizontal="right" vertical="center"/>
    </xf>
    <xf numFmtId="165" fontId="2" fillId="6" borderId="5" xfId="0" applyNumberFormat="1" applyFont="1" applyFill="1" applyBorder="1" applyAlignment="1">
      <alignment horizontal="right" vertical="center"/>
    </xf>
    <xf numFmtId="0" fontId="0" fillId="2" borderId="4" xfId="0" applyFill="1" applyBorder="1"/>
    <xf numFmtId="165" fontId="8" fillId="2" borderId="4" xfId="0" applyNumberFormat="1" applyFont="1" applyFill="1" applyBorder="1" applyAlignment="1">
      <alignment horizontal="right" vertical="center"/>
    </xf>
    <xf numFmtId="165" fontId="15" fillId="0" borderId="0" xfId="0" applyNumberFormat="1" applyFont="1" applyAlignment="1">
      <alignment horizontal="right" vertical="center"/>
    </xf>
    <xf numFmtId="0" fontId="16" fillId="6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right" vertical="center"/>
    </xf>
    <xf numFmtId="164" fontId="16" fillId="6" borderId="5" xfId="0" applyNumberFormat="1" applyFont="1" applyFill="1" applyBorder="1" applyAlignment="1">
      <alignment horizontal="right" vertical="center"/>
    </xf>
    <xf numFmtId="9" fontId="16" fillId="5" borderId="5" xfId="0" applyNumberFormat="1" applyFont="1" applyFill="1" applyBorder="1" applyAlignment="1">
      <alignment horizontal="right" vertical="center"/>
    </xf>
    <xf numFmtId="168" fontId="13" fillId="5" borderId="5" xfId="0" applyNumberFormat="1" applyFont="1" applyFill="1" applyBorder="1" applyAlignment="1">
      <alignment horizontal="right" vertical="center"/>
    </xf>
    <xf numFmtId="164" fontId="13" fillId="5" borderId="5" xfId="0" applyNumberFormat="1" applyFont="1" applyFill="1" applyBorder="1" applyAlignment="1">
      <alignment horizontal="right" vertical="center"/>
    </xf>
    <xf numFmtId="169" fontId="13" fillId="5" borderId="5" xfId="0" applyNumberFormat="1" applyFont="1" applyFill="1" applyBorder="1" applyAlignment="1">
      <alignment horizontal="right" vertical="center"/>
    </xf>
    <xf numFmtId="170" fontId="5" fillId="5" borderId="5" xfId="0" applyNumberFormat="1" applyFont="1" applyFill="1" applyBorder="1" applyAlignment="1">
      <alignment horizontal="right" vertical="center"/>
    </xf>
    <xf numFmtId="171" fontId="3" fillId="6" borderId="5" xfId="0" applyNumberFormat="1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right" vertical="center"/>
    </xf>
    <xf numFmtId="172" fontId="5" fillId="5" borderId="5" xfId="0" applyNumberFormat="1" applyFont="1" applyFill="1" applyBorder="1" applyAlignment="1">
      <alignment horizontal="right" vertical="center"/>
    </xf>
    <xf numFmtId="172" fontId="5" fillId="6" borderId="5" xfId="0" applyNumberFormat="1" applyFont="1" applyFill="1" applyBorder="1" applyAlignment="1">
      <alignment horizontal="right" vertical="center"/>
    </xf>
    <xf numFmtId="173" fontId="13" fillId="5" borderId="5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2" fontId="5" fillId="5" borderId="5" xfId="0" applyNumberFormat="1" applyFont="1" applyFill="1" applyBorder="1" applyAlignment="1">
      <alignment horizontal="right" vertical="center"/>
    </xf>
    <xf numFmtId="169" fontId="5" fillId="5" borderId="5" xfId="0" applyNumberFormat="1" applyFont="1" applyFill="1" applyBorder="1" applyAlignment="1">
      <alignment horizontal="right" vertical="center"/>
    </xf>
    <xf numFmtId="2" fontId="5" fillId="6" borderId="5" xfId="0" applyNumberFormat="1" applyFont="1" applyFill="1" applyBorder="1" applyAlignment="1">
      <alignment horizontal="right" vertical="center"/>
    </xf>
    <xf numFmtId="169" fontId="5" fillId="6" borderId="5" xfId="0" applyNumberFormat="1" applyFont="1" applyFill="1" applyBorder="1" applyAlignment="1">
      <alignment horizontal="right" vertical="center"/>
    </xf>
    <xf numFmtId="0" fontId="18" fillId="7" borderId="5" xfId="0" applyFont="1" applyFill="1" applyBorder="1" applyAlignment="1">
      <alignment horizontal="left" vertical="center"/>
    </xf>
    <xf numFmtId="2" fontId="5" fillId="7" borderId="5" xfId="0" applyNumberFormat="1" applyFont="1" applyFill="1" applyBorder="1" applyAlignment="1">
      <alignment horizontal="right" vertical="center"/>
    </xf>
    <xf numFmtId="165" fontId="5" fillId="7" borderId="5" xfId="0" applyNumberFormat="1" applyFont="1" applyFill="1" applyBorder="1" applyAlignment="1">
      <alignment horizontal="right" vertical="center"/>
    </xf>
    <xf numFmtId="169" fontId="18" fillId="7" borderId="5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174" fontId="3" fillId="5" borderId="5" xfId="0" applyNumberFormat="1" applyFont="1" applyFill="1" applyBorder="1" applyAlignment="1">
      <alignment horizontal="right" vertical="center"/>
    </xf>
    <xf numFmtId="174" fontId="3" fillId="6" borderId="5" xfId="0" applyNumberFormat="1" applyFont="1" applyFill="1" applyBorder="1" applyAlignment="1">
      <alignment horizontal="right" vertical="center"/>
    </xf>
    <xf numFmtId="0" fontId="3" fillId="8" borderId="5" xfId="0" applyFont="1" applyFill="1" applyBorder="1" applyAlignment="1">
      <alignment horizontal="left" vertical="center"/>
    </xf>
    <xf numFmtId="174" fontId="13" fillId="8" borderId="5" xfId="0" applyNumberFormat="1" applyFont="1" applyFill="1" applyBorder="1" applyAlignment="1">
      <alignment horizontal="right" vertical="center"/>
    </xf>
    <xf numFmtId="174" fontId="8" fillId="2" borderId="4" xfId="0" applyNumberFormat="1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left" vertical="center"/>
    </xf>
    <xf numFmtId="174" fontId="2" fillId="9" borderId="5" xfId="0" applyNumberFormat="1" applyFont="1" applyFill="1" applyBorder="1" applyAlignment="1">
      <alignment horizontal="right" vertical="center"/>
    </xf>
    <xf numFmtId="0" fontId="30" fillId="0" borderId="0" xfId="0" applyFont="1"/>
    <xf numFmtId="0" fontId="31" fillId="0" borderId="0" xfId="0" applyFont="1" applyAlignment="1">
      <alignment horizontal="left" vertical="center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9" fillId="0" borderId="0" xfId="0" applyFont="1"/>
    <xf numFmtId="0" fontId="24" fillId="0" borderId="0" xfId="0" applyFont="1"/>
    <xf numFmtId="0" fontId="23" fillId="0" borderId="2" xfId="0" applyFont="1" applyBorder="1"/>
    <xf numFmtId="0" fontId="19" fillId="3" borderId="0" xfId="0" applyFont="1" applyFill="1" applyAlignment="1">
      <alignment horizontal="left" vertical="center"/>
    </xf>
    <xf numFmtId="0" fontId="32" fillId="0" borderId="0" xfId="0" applyFont="1"/>
    <xf numFmtId="0" fontId="20" fillId="0" borderId="0" xfId="0" applyFont="1"/>
    <xf numFmtId="0" fontId="33" fillId="0" borderId="0" xfId="0" applyFont="1"/>
    <xf numFmtId="0" fontId="27" fillId="0" borderId="0" xfId="0" applyFont="1"/>
    <xf numFmtId="0" fontId="34" fillId="0" borderId="0" xfId="0" applyFont="1"/>
    <xf numFmtId="0" fontId="34" fillId="2" borderId="0" xfId="0" applyFont="1" applyFill="1"/>
    <xf numFmtId="0" fontId="0" fillId="0" borderId="7" xfId="0" applyBorder="1"/>
    <xf numFmtId="0" fontId="21" fillId="0" borderId="0" xfId="0" applyFont="1"/>
    <xf numFmtId="0" fontId="22" fillId="0" borderId="0" xfId="0" applyFont="1"/>
    <xf numFmtId="4" fontId="25" fillId="0" borderId="0" xfId="0" applyNumberFormat="1" applyFont="1"/>
    <xf numFmtId="0" fontId="26" fillId="10" borderId="0" xfId="0" applyFont="1" applyFill="1"/>
    <xf numFmtId="4" fontId="0" fillId="0" borderId="0" xfId="0" applyNumberFormat="1"/>
    <xf numFmtId="2" fontId="0" fillId="0" borderId="0" xfId="0" applyNumberFormat="1"/>
    <xf numFmtId="2" fontId="27" fillId="0" borderId="0" xfId="0" applyNumberFormat="1" applyFont="1"/>
    <xf numFmtId="4" fontId="19" fillId="0" borderId="0" xfId="0" applyNumberFormat="1" applyFont="1"/>
    <xf numFmtId="164" fontId="0" fillId="0" borderId="0" xfId="0" applyNumberFormat="1"/>
    <xf numFmtId="0" fontId="26" fillId="10" borderId="0" xfId="0" applyFont="1" applyFill="1" applyAlignment="1">
      <alignment horizontal="center" wrapText="1"/>
    </xf>
    <xf numFmtId="0" fontId="26" fillId="11" borderId="0" xfId="0" applyFont="1" applyFill="1"/>
    <xf numFmtId="175" fontId="0" fillId="0" borderId="0" xfId="0" applyNumberFormat="1"/>
    <xf numFmtId="0" fontId="26" fillId="12" borderId="0" xfId="0" applyFont="1" applyFill="1"/>
    <xf numFmtId="0" fontId="0" fillId="12" borderId="0" xfId="0" applyFill="1"/>
    <xf numFmtId="0" fontId="24" fillId="12" borderId="0" xfId="0" applyFont="1" applyFill="1"/>
    <xf numFmtId="4" fontId="0" fillId="12" borderId="0" xfId="0" applyNumberFormat="1" applyFill="1"/>
    <xf numFmtId="10" fontId="0" fillId="0" borderId="0" xfId="0" applyNumberFormat="1"/>
    <xf numFmtId="0" fontId="23" fillId="0" borderId="0" xfId="0" applyFont="1" applyAlignment="1">
      <alignment horizontal="center"/>
    </xf>
    <xf numFmtId="165" fontId="28" fillId="12" borderId="0" xfId="0" applyNumberFormat="1" applyFont="1" applyFill="1" applyAlignment="1">
      <alignment horizontal="center"/>
    </xf>
    <xf numFmtId="10" fontId="28" fillId="12" borderId="0" xfId="0" applyNumberFormat="1" applyFont="1" applyFill="1" applyAlignment="1">
      <alignment horizontal="center"/>
    </xf>
    <xf numFmtId="176" fontId="28" fillId="12" borderId="0" xfId="0" applyNumberFormat="1" applyFont="1" applyFill="1" applyAlignment="1">
      <alignment horizontal="center"/>
    </xf>
    <xf numFmtId="170" fontId="28" fillId="12" borderId="0" xfId="0" applyNumberFormat="1" applyFont="1" applyFill="1" applyAlignment="1">
      <alignment horizontal="center"/>
    </xf>
    <xf numFmtId="177" fontId="28" fillId="12" borderId="0" xfId="0" applyNumberFormat="1" applyFont="1" applyFill="1" applyAlignment="1">
      <alignment horizontal="center"/>
    </xf>
    <xf numFmtId="178" fontId="28" fillId="12" borderId="0" xfId="0" applyNumberFormat="1" applyFont="1" applyFill="1" applyAlignment="1">
      <alignment horizontal="center"/>
    </xf>
    <xf numFmtId="3" fontId="0" fillId="0" borderId="0" xfId="0" applyNumberFormat="1"/>
    <xf numFmtId="0" fontId="19" fillId="0" borderId="0" xfId="0" applyFont="1" applyAlignment="1">
      <alignment horizontal="center"/>
    </xf>
    <xf numFmtId="0" fontId="29" fillId="0" borderId="0" xfId="0" applyFont="1"/>
    <xf numFmtId="0" fontId="8" fillId="2" borderId="4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8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9" fontId="13" fillId="5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CCCCC"/>
      <rgbColor rgb="FF808080"/>
      <rgbColor rgb="FF9999FF"/>
      <rgbColor rgb="FF993366"/>
      <rgbColor rgb="FFFDF6DC"/>
      <rgbColor rgb="FFEBF7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A"/>
      <rgbColor rgb="FFF5F5F5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D49"/>
  <sheetViews>
    <sheetView showGridLines="0" topLeftCell="A14" zoomScaleNormal="100" workbookViewId="0">
      <selection activeCell="B26" sqref="B26"/>
    </sheetView>
  </sheetViews>
  <sheetFormatPr baseColWidth="10" defaultColWidth="8.7109375" defaultRowHeight="15"/>
  <cols>
    <col min="1" max="1" width="3" customWidth="1"/>
    <col min="2" max="2" width="20" customWidth="1"/>
    <col min="3" max="3" width="50" customWidth="1"/>
    <col min="4" max="4" width="3" customWidth="1"/>
  </cols>
  <sheetData>
    <row r="1" spans="1:4" ht="7.5" customHeight="1">
      <c r="A1" s="2"/>
      <c r="B1" s="2"/>
      <c r="C1" s="2"/>
      <c r="D1" s="2"/>
    </row>
    <row r="2" spans="1:4" ht="23.25">
      <c r="B2" s="85" t="s">
        <v>16</v>
      </c>
    </row>
    <row r="3" spans="1:4" ht="31.5" customHeight="1">
      <c r="B3" s="3"/>
    </row>
    <row r="4" spans="1:4" ht="21.75" customHeight="1">
      <c r="B4" s="86" t="s">
        <v>17</v>
      </c>
    </row>
    <row r="5" spans="1:4" ht="7.5" customHeight="1">
      <c r="B5" s="4"/>
      <c r="C5" s="4"/>
      <c r="D5" s="4"/>
    </row>
    <row r="6" spans="1:4">
      <c r="B6" s="87" t="s">
        <v>18</v>
      </c>
    </row>
    <row r="7" spans="1:4" ht="16.5" customHeight="1">
      <c r="B7" s="5"/>
      <c r="C7" s="6"/>
    </row>
    <row r="8" spans="1:4" ht="16.5" customHeight="1">
      <c r="B8" s="88" t="s">
        <v>19</v>
      </c>
      <c r="C8" s="89" t="s">
        <v>20</v>
      </c>
    </row>
    <row r="9" spans="1:4" ht="16.5" customHeight="1">
      <c r="B9" s="88" t="s">
        <v>21</v>
      </c>
      <c r="C9" s="89" t="s">
        <v>22</v>
      </c>
    </row>
    <row r="10" spans="1:4" ht="16.5" customHeight="1">
      <c r="B10" s="88" t="s">
        <v>23</v>
      </c>
      <c r="C10" s="89" t="s">
        <v>24</v>
      </c>
    </row>
    <row r="11" spans="1:4" ht="16.5" customHeight="1">
      <c r="B11" s="88" t="s">
        <v>25</v>
      </c>
      <c r="C11" s="89" t="s">
        <v>26</v>
      </c>
    </row>
    <row r="12" spans="1:4" ht="16.5" customHeight="1">
      <c r="B12" s="88" t="s">
        <v>27</v>
      </c>
      <c r="C12" s="89" t="s">
        <v>28</v>
      </c>
    </row>
    <row r="13" spans="1:4" ht="16.5" customHeight="1">
      <c r="B13" s="88" t="s">
        <v>29</v>
      </c>
      <c r="C13" s="89" t="s">
        <v>30</v>
      </c>
    </row>
    <row r="14" spans="1:4">
      <c r="B14" s="90" t="s">
        <v>31</v>
      </c>
      <c r="C14" s="91" t="s">
        <v>32</v>
      </c>
    </row>
    <row r="16" spans="1:4" ht="15" customHeight="1">
      <c r="B16" s="5"/>
    </row>
    <row r="17" spans="2:4" ht="15" customHeight="1">
      <c r="B17" s="92" t="s">
        <v>33</v>
      </c>
      <c r="C17" s="7"/>
      <c r="D17" s="7"/>
    </row>
    <row r="18" spans="2:4" ht="15.75" customHeight="1">
      <c r="B18" s="8"/>
    </row>
    <row r="19" spans="2:4" ht="15.75" customHeight="1">
      <c r="B19" s="90" t="s">
        <v>34</v>
      </c>
      <c r="C19" t="s">
        <v>35</v>
      </c>
    </row>
    <row r="20" spans="2:4" ht="15.75" customHeight="1">
      <c r="B20" s="90" t="s">
        <v>36</v>
      </c>
      <c r="C20" t="s">
        <v>37</v>
      </c>
    </row>
    <row r="21" spans="2:4">
      <c r="B21" s="90" t="s">
        <v>38</v>
      </c>
      <c r="C21" t="s">
        <v>39</v>
      </c>
    </row>
    <row r="22" spans="2:4" ht="15.75" customHeight="1">
      <c r="B22" s="93" t="s">
        <v>40</v>
      </c>
      <c r="C22" t="s">
        <v>41</v>
      </c>
    </row>
    <row r="23" spans="2:4">
      <c r="B23" s="90" t="s">
        <v>42</v>
      </c>
      <c r="C23" t="s">
        <v>43</v>
      </c>
    </row>
    <row r="24" spans="2:4">
      <c r="B24" s="90" t="s">
        <v>44</v>
      </c>
      <c r="C24" t="s">
        <v>45</v>
      </c>
    </row>
    <row r="25" spans="2:4">
      <c r="B25" s="90" t="s">
        <v>46</v>
      </c>
      <c r="C25" t="s">
        <v>47</v>
      </c>
    </row>
    <row r="26" spans="2:4">
      <c r="B26" s="90" t="s">
        <v>48</v>
      </c>
      <c r="C26" t="s">
        <v>49</v>
      </c>
    </row>
    <row r="27" spans="2:4">
      <c r="B27" s="90" t="s">
        <v>50</v>
      </c>
      <c r="C27" t="s">
        <v>51</v>
      </c>
    </row>
    <row r="28" spans="2:4">
      <c r="B28" s="90" t="s">
        <v>52</v>
      </c>
      <c r="C28" t="s">
        <v>53</v>
      </c>
    </row>
    <row r="29" spans="2:4">
      <c r="B29" s="90" t="s">
        <v>54</v>
      </c>
      <c r="C29" t="s">
        <v>55</v>
      </c>
    </row>
    <row r="30" spans="2:4">
      <c r="B30" s="90" t="s">
        <v>56</v>
      </c>
      <c r="C30" t="s">
        <v>57</v>
      </c>
    </row>
    <row r="33" spans="1:4">
      <c r="B33" s="87" t="s">
        <v>58</v>
      </c>
    </row>
    <row r="35" spans="1:4">
      <c r="B35" s="94" t="s">
        <v>59</v>
      </c>
      <c r="C35" t="s">
        <v>60</v>
      </c>
    </row>
    <row r="36" spans="1:4">
      <c r="B36" s="95" t="s">
        <v>61</v>
      </c>
      <c r="C36" t="s">
        <v>62</v>
      </c>
    </row>
    <row r="37" spans="1:4">
      <c r="B37" s="96" t="s">
        <v>63</v>
      </c>
      <c r="C37" t="s">
        <v>64</v>
      </c>
    </row>
    <row r="39" spans="1:4">
      <c r="B39" s="97" t="s">
        <v>65</v>
      </c>
      <c r="C39" t="s">
        <v>66</v>
      </c>
    </row>
    <row r="41" spans="1:4">
      <c r="B41" s="97" t="s">
        <v>67</v>
      </c>
    </row>
    <row r="43" spans="1:4">
      <c r="B43" s="98" t="s">
        <v>68</v>
      </c>
    </row>
    <row r="44" spans="1:4" ht="7.5" customHeight="1">
      <c r="A44" s="2"/>
      <c r="B44" s="99" t="s">
        <v>69</v>
      </c>
      <c r="C44" s="2"/>
      <c r="D44" s="2"/>
    </row>
    <row r="45" spans="1:4">
      <c r="B45" s="98" t="s">
        <v>70</v>
      </c>
    </row>
    <row r="46" spans="1:4">
      <c r="B46" s="98" t="s">
        <v>71</v>
      </c>
    </row>
    <row r="47" spans="1:4">
      <c r="B47" s="98" t="s">
        <v>72</v>
      </c>
    </row>
    <row r="48" spans="1:4">
      <c r="B48" s="98" t="s">
        <v>73</v>
      </c>
    </row>
    <row r="49" spans="2:2">
      <c r="B49" s="98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E31"/>
  <sheetViews>
    <sheetView showGridLines="0" zoomScaleNormal="100" workbookViewId="0">
      <selection activeCell="C11" sqref="C11"/>
    </sheetView>
  </sheetViews>
  <sheetFormatPr baseColWidth="10" defaultColWidth="8.7109375" defaultRowHeight="15"/>
  <cols>
    <col min="1" max="1" width="3" customWidth="1"/>
    <col min="2" max="2" width="40" customWidth="1"/>
    <col min="3" max="3" width="16" customWidth="1"/>
    <col min="4" max="4" width="18" customWidth="1"/>
    <col min="5" max="5" width="3" customWidth="1"/>
  </cols>
  <sheetData>
    <row r="1" spans="1:5" ht="6" customHeight="1">
      <c r="A1" s="2"/>
      <c r="B1" s="2"/>
      <c r="C1" s="2"/>
      <c r="D1" s="2"/>
      <c r="E1" s="2"/>
    </row>
    <row r="2" spans="1:5" ht="24" customHeight="1">
      <c r="B2" s="9" t="s">
        <v>75</v>
      </c>
    </row>
    <row r="3" spans="1:5" ht="15" customHeight="1">
      <c r="B3" s="10" t="s">
        <v>76</v>
      </c>
    </row>
    <row r="5" spans="1:5" ht="19.5" customHeight="1">
      <c r="B5" s="11" t="s">
        <v>77</v>
      </c>
      <c r="C5" s="12" t="s">
        <v>78</v>
      </c>
      <c r="D5" s="11" t="s">
        <v>79</v>
      </c>
    </row>
    <row r="7" spans="1:5" ht="19.5" customHeight="1">
      <c r="B7" s="128" t="s">
        <v>80</v>
      </c>
      <c r="C7" s="129"/>
      <c r="D7" s="130"/>
    </row>
    <row r="8" spans="1:5" ht="16.5" customHeight="1">
      <c r="B8" s="13" t="s">
        <v>81</v>
      </c>
      <c r="C8" s="14">
        <v>125</v>
      </c>
      <c r="D8" s="15" t="s">
        <v>82</v>
      </c>
    </row>
    <row r="9" spans="1:5" ht="16.5" customHeight="1">
      <c r="B9" s="16" t="s">
        <v>83</v>
      </c>
      <c r="C9" s="17">
        <v>312</v>
      </c>
      <c r="D9" s="18" t="s">
        <v>84</v>
      </c>
    </row>
    <row r="10" spans="1:5" ht="16.5" customHeight="1">
      <c r="B10" s="13" t="s">
        <v>85</v>
      </c>
      <c r="C10" s="14">
        <v>400</v>
      </c>
      <c r="D10" s="15" t="s">
        <v>86</v>
      </c>
    </row>
    <row r="11" spans="1:5" ht="16.5" customHeight="1">
      <c r="B11" s="16" t="s">
        <v>87</v>
      </c>
      <c r="C11" s="19">
        <v>238609</v>
      </c>
      <c r="D11" s="18" t="s">
        <v>88</v>
      </c>
    </row>
    <row r="12" spans="1:5" ht="16.5" customHeight="1">
      <c r="B12" s="13" t="s">
        <v>89</v>
      </c>
      <c r="C12" s="20">
        <v>0.81</v>
      </c>
      <c r="D12" s="15" t="s">
        <v>90</v>
      </c>
    </row>
    <row r="13" spans="1:5" ht="16.5" customHeight="1">
      <c r="B13" s="16" t="s">
        <v>91</v>
      </c>
      <c r="C13" s="21">
        <v>0.218</v>
      </c>
      <c r="D13" s="18" t="s">
        <v>90</v>
      </c>
    </row>
    <row r="14" spans="1:5" ht="16.5" customHeight="1">
      <c r="B14" s="13" t="s">
        <v>92</v>
      </c>
      <c r="C14" s="22">
        <v>5.0000000000000001E-3</v>
      </c>
      <c r="D14" s="15" t="s">
        <v>93</v>
      </c>
    </row>
    <row r="15" spans="1:5" ht="16.5" customHeight="1">
      <c r="B15" s="16" t="s">
        <v>94</v>
      </c>
      <c r="C15" s="21">
        <v>0.114</v>
      </c>
      <c r="D15" s="18" t="s">
        <v>90</v>
      </c>
    </row>
    <row r="17" spans="2:4" ht="19.5" customHeight="1">
      <c r="B17" s="128" t="s">
        <v>95</v>
      </c>
      <c r="C17" s="129"/>
      <c r="D17" s="130"/>
    </row>
    <row r="18" spans="2:4" ht="16.5" customHeight="1">
      <c r="B18" s="23" t="s">
        <v>96</v>
      </c>
      <c r="C18" s="24">
        <v>68800</v>
      </c>
      <c r="D18" s="25" t="s">
        <v>97</v>
      </c>
    </row>
    <row r="19" spans="2:4" ht="16.5" customHeight="1">
      <c r="B19" s="16" t="s">
        <v>98</v>
      </c>
      <c r="C19" s="26">
        <v>500</v>
      </c>
      <c r="D19" s="18" t="s">
        <v>99</v>
      </c>
    </row>
    <row r="20" spans="2:4" ht="16.5" customHeight="1">
      <c r="B20" s="23" t="s">
        <v>100</v>
      </c>
      <c r="C20" s="27">
        <v>0.26</v>
      </c>
      <c r="D20" s="25" t="s">
        <v>101</v>
      </c>
    </row>
    <row r="21" spans="2:4" ht="16.5" customHeight="1">
      <c r="B21" s="16" t="s">
        <v>102</v>
      </c>
      <c r="C21" s="21">
        <v>0.02</v>
      </c>
      <c r="D21" s="18" t="s">
        <v>93</v>
      </c>
    </row>
    <row r="22" spans="2:4" ht="16.5" customHeight="1">
      <c r="B22" s="23" t="s">
        <v>103</v>
      </c>
      <c r="C22" s="28">
        <v>0.05</v>
      </c>
      <c r="D22" s="25" t="s">
        <v>90</v>
      </c>
    </row>
    <row r="23" spans="2:4" ht="16.5" customHeight="1">
      <c r="B23" s="16" t="s">
        <v>104</v>
      </c>
      <c r="C23" s="17">
        <v>25</v>
      </c>
      <c r="D23" s="18" t="s">
        <v>105</v>
      </c>
    </row>
    <row r="25" spans="2:4" ht="19.5" customHeight="1">
      <c r="B25" s="128" t="s">
        <v>106</v>
      </c>
      <c r="C25" s="129"/>
      <c r="D25" s="130"/>
    </row>
    <row r="26" spans="2:4" ht="16.5" customHeight="1">
      <c r="B26" s="13" t="s">
        <v>107</v>
      </c>
      <c r="C26" s="29">
        <v>0.71799999999999997</v>
      </c>
      <c r="D26" s="15" t="s">
        <v>108</v>
      </c>
    </row>
    <row r="27" spans="2:4" ht="16.5" customHeight="1">
      <c r="B27" s="16" t="s">
        <v>109</v>
      </c>
      <c r="C27" s="30">
        <v>2.68</v>
      </c>
      <c r="D27" s="18" t="s">
        <v>110</v>
      </c>
    </row>
    <row r="28" spans="2:4" ht="16.5" customHeight="1">
      <c r="B28" s="13" t="s">
        <v>111</v>
      </c>
      <c r="C28" s="31">
        <v>0.6</v>
      </c>
      <c r="D28" s="15" t="s">
        <v>90</v>
      </c>
    </row>
    <row r="29" spans="2:4" ht="16.5" customHeight="1">
      <c r="B29" s="16" t="s">
        <v>112</v>
      </c>
      <c r="C29" s="32">
        <v>0.4</v>
      </c>
      <c r="D29" s="18" t="s">
        <v>90</v>
      </c>
    </row>
    <row r="31" spans="2:4" ht="15" customHeight="1">
      <c r="B31" s="33" t="s">
        <v>113</v>
      </c>
    </row>
  </sheetData>
  <mergeCells count="3">
    <mergeCell ref="B17:D17"/>
    <mergeCell ref="B7:D7"/>
    <mergeCell ref="B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7A4D"/>
  </sheetPr>
  <dimension ref="A1:K35"/>
  <sheetViews>
    <sheetView showGridLines="0" zoomScale="85" zoomScaleNormal="85" workbookViewId="0">
      <pane xSplit="1" ySplit="6" topLeftCell="B17" activePane="bottomRight" state="frozen"/>
      <selection pane="topRight" activeCell="B1" sqref="B1"/>
      <selection pane="bottomLeft" activeCell="A7" sqref="A7"/>
      <selection pane="bottomRight" activeCell="C35" sqref="C35"/>
    </sheetView>
  </sheetViews>
  <sheetFormatPr baseColWidth="10" defaultColWidth="8.7109375" defaultRowHeight="15"/>
  <cols>
    <col min="1" max="1" width="3" customWidth="1"/>
    <col min="2" max="2" width="8" customWidth="1"/>
    <col min="3" max="3" width="20" customWidth="1"/>
    <col min="4" max="5" width="18" customWidth="1"/>
    <col min="6" max="6" width="14" customWidth="1"/>
    <col min="7" max="7" width="18" customWidth="1"/>
    <col min="8" max="8" width="22" customWidth="1"/>
    <col min="9" max="9" width="20" customWidth="1"/>
    <col min="10" max="10" width="16" customWidth="1"/>
    <col min="11" max="11" width="19.5703125" customWidth="1"/>
  </cols>
  <sheetData>
    <row r="1" spans="1:11" ht="6" customHeight="1">
      <c r="A1" s="2"/>
      <c r="B1" s="2"/>
      <c r="C1" s="2"/>
      <c r="D1" s="2"/>
      <c r="E1" s="2"/>
      <c r="F1" s="2"/>
      <c r="G1" s="2"/>
      <c r="H1" s="2"/>
      <c r="I1" s="2"/>
    </row>
    <row r="2" spans="1:11" ht="24" customHeight="1">
      <c r="B2" s="9" t="s">
        <v>0</v>
      </c>
    </row>
    <row r="3" spans="1:11" ht="15" customHeight="1">
      <c r="B3" s="10" t="s">
        <v>1</v>
      </c>
    </row>
    <row r="4" spans="1:11" ht="12.75" customHeight="1">
      <c r="B4" s="33" t="s">
        <v>2</v>
      </c>
    </row>
    <row r="6" spans="1:11" ht="30" customHeight="1">
      <c r="B6" s="34" t="s">
        <v>3</v>
      </c>
      <c r="C6" s="34" t="s">
        <v>4</v>
      </c>
      <c r="D6" s="34" t="s">
        <v>5</v>
      </c>
      <c r="E6" s="34" t="s">
        <v>6</v>
      </c>
      <c r="F6" s="34" t="s">
        <v>7</v>
      </c>
      <c r="G6" s="34" t="s">
        <v>8</v>
      </c>
      <c r="H6" s="34" t="s">
        <v>9</v>
      </c>
      <c r="I6" s="34" t="s">
        <v>10</v>
      </c>
      <c r="J6" s="35" t="s">
        <v>11</v>
      </c>
      <c r="K6" s="35" t="s">
        <v>12</v>
      </c>
    </row>
    <row r="7" spans="1:11" ht="16.5" customHeight="1">
      <c r="B7">
        <v>0</v>
      </c>
      <c r="C7">
        <v>0</v>
      </c>
      <c r="D7">
        <v>0</v>
      </c>
      <c r="E7">
        <v>0</v>
      </c>
      <c r="F7">
        <v>0</v>
      </c>
      <c r="G7">
        <f>-Inputs!C18</f>
        <v>-68800</v>
      </c>
      <c r="H7">
        <f>G7</f>
        <v>-68800</v>
      </c>
      <c r="I7">
        <f>G7/(1+Inputs!C22)^B7</f>
        <v>-68800</v>
      </c>
      <c r="J7">
        <f t="shared" ref="J7:J32" si="0">G7</f>
        <v>-68800</v>
      </c>
      <c r="K7">
        <f>I7</f>
        <v>-68800</v>
      </c>
    </row>
    <row r="8" spans="1:11" ht="16.5" customHeight="1">
      <c r="B8" s="36">
        <v>1</v>
      </c>
      <c r="C8" s="37">
        <f>Inputs!C11</f>
        <v>238609</v>
      </c>
      <c r="D8" s="38">
        <f>Inputs!C20</f>
        <v>0.26</v>
      </c>
      <c r="E8" s="39">
        <f t="shared" ref="E8:E32" si="1">C8*D8</f>
        <v>62038.340000000004</v>
      </c>
      <c r="F8" s="40">
        <f>Inputs!C19</f>
        <v>500</v>
      </c>
      <c r="G8" s="41">
        <f t="shared" ref="G8:G32" si="2">E8-F8</f>
        <v>61538.340000000004</v>
      </c>
      <c r="H8" s="42">
        <f t="shared" ref="H8:H32" si="3">H7+G8</f>
        <v>-7261.6599999999962</v>
      </c>
      <c r="I8" s="40">
        <f>G8/(1+Inputs!C22)^B8</f>
        <v>58607.942857142858</v>
      </c>
      <c r="J8" s="43">
        <f t="shared" si="0"/>
        <v>61538.340000000004</v>
      </c>
      <c r="K8" s="43">
        <f t="shared" ref="K8:K32" si="4">K7+I8</f>
        <v>-10192.057142857142</v>
      </c>
    </row>
    <row r="9" spans="1:11" ht="16.5" customHeight="1">
      <c r="B9" s="44">
        <v>2</v>
      </c>
      <c r="C9" s="45">
        <f>C8*(1-Inputs!$C$14)</f>
        <v>237415.95499999999</v>
      </c>
      <c r="D9" s="46">
        <f>D8*(1+Inputs!$C$21)</f>
        <v>0.26519999999999999</v>
      </c>
      <c r="E9" s="47">
        <f t="shared" si="1"/>
        <v>62962.711265999991</v>
      </c>
      <c r="F9" s="48">
        <f>Inputs!C19</f>
        <v>500</v>
      </c>
      <c r="G9" s="49">
        <f t="shared" si="2"/>
        <v>62462.711265999991</v>
      </c>
      <c r="H9" s="50">
        <f t="shared" si="3"/>
        <v>55201.051265999995</v>
      </c>
      <c r="I9" s="48">
        <f>G9/(1+Inputs!C22)^B9</f>
        <v>56655.520422675727</v>
      </c>
      <c r="J9" s="48">
        <f t="shared" si="0"/>
        <v>62462.711265999991</v>
      </c>
      <c r="K9" s="48">
        <f t="shared" si="4"/>
        <v>46463.463279818585</v>
      </c>
    </row>
    <row r="10" spans="1:11" ht="16.5" customHeight="1">
      <c r="B10" s="36">
        <v>3</v>
      </c>
      <c r="C10" s="45">
        <f>C9*(1-Inputs!$C$14)</f>
        <v>236228.875225</v>
      </c>
      <c r="D10" s="46">
        <f>D9*(1+Inputs!$C$21)</f>
        <v>0.27050400000000002</v>
      </c>
      <c r="E10" s="39">
        <f t="shared" si="1"/>
        <v>63900.855663863404</v>
      </c>
      <c r="F10" s="40">
        <f>Inputs!C19</f>
        <v>500</v>
      </c>
      <c r="G10" s="41">
        <f t="shared" si="2"/>
        <v>63400.855663863404</v>
      </c>
      <c r="H10" s="42">
        <f t="shared" si="3"/>
        <v>118601.9069298634</v>
      </c>
      <c r="I10" s="40">
        <f>G10/(1+Inputs!C22)^B10</f>
        <v>54768.04290151249</v>
      </c>
      <c r="J10" s="40">
        <f t="shared" si="0"/>
        <v>63400.855663863404</v>
      </c>
      <c r="K10" s="40">
        <f t="shared" si="4"/>
        <v>101231.50618133107</v>
      </c>
    </row>
    <row r="11" spans="1:11" ht="16.5" customHeight="1">
      <c r="B11" s="44">
        <v>4</v>
      </c>
      <c r="C11" s="45">
        <f>C10*(1-Inputs!$C$14)</f>
        <v>235047.73084887498</v>
      </c>
      <c r="D11" s="46">
        <f>D10*(1+Inputs!$C$21)</f>
        <v>0.27591408000000001</v>
      </c>
      <c r="E11" s="47">
        <f t="shared" si="1"/>
        <v>64852.978413254961</v>
      </c>
      <c r="F11" s="48">
        <f>Inputs!C19</f>
        <v>500</v>
      </c>
      <c r="G11" s="49">
        <f t="shared" si="2"/>
        <v>64352.978413254961</v>
      </c>
      <c r="H11" s="50">
        <f t="shared" si="3"/>
        <v>182954.88534311837</v>
      </c>
      <c r="I11" s="48">
        <f>G11/(1+Inputs!C22)^B11</f>
        <v>52943.354600813414</v>
      </c>
      <c r="J11" s="48">
        <f t="shared" si="0"/>
        <v>64352.978413254961</v>
      </c>
      <c r="K11" s="48">
        <f t="shared" si="4"/>
        <v>154174.86078214447</v>
      </c>
    </row>
    <row r="12" spans="1:11" ht="16.5" customHeight="1">
      <c r="B12" s="36">
        <v>5</v>
      </c>
      <c r="C12" s="45">
        <f>C11*(1-Inputs!$C$14)</f>
        <v>233872.49219463061</v>
      </c>
      <c r="D12" s="46">
        <f>D11*(1+Inputs!$C$21)</f>
        <v>0.28143236160000001</v>
      </c>
      <c r="E12" s="39">
        <f t="shared" si="1"/>
        <v>65819.287791612471</v>
      </c>
      <c r="F12" s="40">
        <f>Inputs!C19</f>
        <v>500</v>
      </c>
      <c r="G12" s="41">
        <f t="shared" si="2"/>
        <v>65319.287791612471</v>
      </c>
      <c r="H12" s="42">
        <f t="shared" si="3"/>
        <v>248274.17313473084</v>
      </c>
      <c r="I12" s="40">
        <f>G12/(1+Inputs!C22)^B12</f>
        <v>51179.37115981213</v>
      </c>
      <c r="J12" s="40">
        <f t="shared" si="0"/>
        <v>65319.287791612471</v>
      </c>
      <c r="K12" s="40">
        <f t="shared" si="4"/>
        <v>205354.23194195662</v>
      </c>
    </row>
    <row r="13" spans="1:11" ht="16.5" customHeight="1">
      <c r="B13" s="44">
        <v>6</v>
      </c>
      <c r="C13" s="45">
        <f>C12*(1-Inputs!$C$14)</f>
        <v>232703.12973365746</v>
      </c>
      <c r="D13" s="46">
        <f>D12*(1+Inputs!$C$21)</f>
        <v>0.28706100883200003</v>
      </c>
      <c r="E13" s="47">
        <f t="shared" si="1"/>
        <v>66799.99517970749</v>
      </c>
      <c r="F13" s="48">
        <f>Inputs!C19</f>
        <v>500</v>
      </c>
      <c r="G13" s="49">
        <f t="shared" si="2"/>
        <v>66299.99517970749</v>
      </c>
      <c r="H13" s="50">
        <f t="shared" si="3"/>
        <v>314574.16831443831</v>
      </c>
      <c r="I13" s="48">
        <f>G13/(1+Inputs!C22)^B13</f>
        <v>49474.077200031927</v>
      </c>
      <c r="J13" s="48">
        <f t="shared" si="0"/>
        <v>66299.99517970749</v>
      </c>
      <c r="K13" s="48">
        <f t="shared" si="4"/>
        <v>254828.30914198855</v>
      </c>
    </row>
    <row r="14" spans="1:11" ht="16.5" customHeight="1">
      <c r="B14" s="36">
        <v>7</v>
      </c>
      <c r="C14" s="45">
        <f>C13*(1-Inputs!$C$14)</f>
        <v>231539.61408498918</v>
      </c>
      <c r="D14" s="46">
        <f>D13*(1+Inputs!$C$21)</f>
        <v>0.29280222900864006</v>
      </c>
      <c r="E14" s="39">
        <f t="shared" si="1"/>
        <v>67795.315107885137</v>
      </c>
      <c r="F14" s="40">
        <f>Inputs!C19</f>
        <v>500</v>
      </c>
      <c r="G14" s="41">
        <f t="shared" si="2"/>
        <v>67295.315107885137</v>
      </c>
      <c r="H14" s="42">
        <f t="shared" si="3"/>
        <v>381869.48342232348</v>
      </c>
      <c r="I14" s="40">
        <f>G14/(1+Inputs!C22)^B14</f>
        <v>47825.524052397464</v>
      </c>
      <c r="J14" s="40">
        <f t="shared" si="0"/>
        <v>67295.315107885137</v>
      </c>
      <c r="K14" s="40">
        <f t="shared" si="4"/>
        <v>302653.83319438598</v>
      </c>
    </row>
    <row r="15" spans="1:11" ht="16.5" customHeight="1">
      <c r="B15" s="44">
        <v>8</v>
      </c>
      <c r="C15" s="45">
        <f>C14*(1-Inputs!$C$14)</f>
        <v>230381.91601456422</v>
      </c>
      <c r="D15" s="46">
        <f>D14*(1+Inputs!$C$21)</f>
        <v>0.29865827358881286</v>
      </c>
      <c r="E15" s="47">
        <f t="shared" si="1"/>
        <v>68805.465302992627</v>
      </c>
      <c r="F15" s="48">
        <f>Inputs!C19</f>
        <v>500</v>
      </c>
      <c r="G15" s="49">
        <f t="shared" si="2"/>
        <v>68305.465302992627</v>
      </c>
      <c r="H15" s="50">
        <f t="shared" si="3"/>
        <v>450174.94872531609</v>
      </c>
      <c r="I15" s="48">
        <f>G15/(1+Inputs!C22)^B15</f>
        <v>46231.827558750156</v>
      </c>
      <c r="J15" s="48">
        <f t="shared" si="0"/>
        <v>68305.465302992627</v>
      </c>
      <c r="K15" s="48">
        <f t="shared" si="4"/>
        <v>348885.66075313615</v>
      </c>
    </row>
    <row r="16" spans="1:11" ht="16.5" customHeight="1">
      <c r="B16" s="36">
        <v>9</v>
      </c>
      <c r="C16" s="45">
        <f>C15*(1-Inputs!$C$14)</f>
        <v>229230.0064344914</v>
      </c>
      <c r="D16" s="46">
        <f>D15*(1+Inputs!$C$21)</f>
        <v>0.30463143906058915</v>
      </c>
      <c r="E16" s="39">
        <f t="shared" si="1"/>
        <v>69830.666736007232</v>
      </c>
      <c r="F16" s="40">
        <f>Inputs!C19</f>
        <v>500</v>
      </c>
      <c r="G16" s="41">
        <f t="shared" si="2"/>
        <v>69330.666736007232</v>
      </c>
      <c r="H16" s="42">
        <f t="shared" si="3"/>
        <v>519505.61546132329</v>
      </c>
      <c r="I16" s="40">
        <f>G16/(1+Inputs!C22)^B16</f>
        <v>44691.165945354907</v>
      </c>
      <c r="J16" s="40">
        <f t="shared" si="0"/>
        <v>69330.666736007232</v>
      </c>
      <c r="K16" s="40">
        <f t="shared" si="4"/>
        <v>393576.82669849106</v>
      </c>
    </row>
    <row r="17" spans="2:11" ht="16.5" customHeight="1">
      <c r="B17" s="44">
        <v>10</v>
      </c>
      <c r="C17" s="45">
        <f>C16*(1-Inputs!$C$14)</f>
        <v>228083.85640231895</v>
      </c>
      <c r="D17" s="46">
        <f>D16*(1+Inputs!$C$21)</f>
        <v>0.31072406784180095</v>
      </c>
      <c r="E17" s="47">
        <f t="shared" si="1"/>
        <v>70871.143670373742</v>
      </c>
      <c r="F17" s="48">
        <f>Inputs!C19</f>
        <v>500</v>
      </c>
      <c r="G17" s="49">
        <f t="shared" si="2"/>
        <v>70371.143670373742</v>
      </c>
      <c r="H17" s="50">
        <f t="shared" si="3"/>
        <v>589876.75913169701</v>
      </c>
      <c r="I17" s="48">
        <f>G17/(1+Inputs!C22)^B17</f>
        <v>43201.777766063358</v>
      </c>
      <c r="J17" s="48">
        <f t="shared" si="0"/>
        <v>70371.143670373742</v>
      </c>
      <c r="K17" s="48">
        <f t="shared" si="4"/>
        <v>436778.6044645544</v>
      </c>
    </row>
    <row r="18" spans="2:11" ht="16.5" customHeight="1">
      <c r="B18" s="36">
        <v>11</v>
      </c>
      <c r="C18" s="45">
        <f>C17*(1-Inputs!$C$14)</f>
        <v>226943.43712030735</v>
      </c>
      <c r="D18" s="46">
        <f>D17*(1+Inputs!$C$21)</f>
        <v>0.31693854919863695</v>
      </c>
      <c r="E18" s="39">
        <f t="shared" si="1"/>
        <v>71927.123711062304</v>
      </c>
      <c r="F18" s="40">
        <f>Inputs!C19</f>
        <v>500</v>
      </c>
      <c r="G18" s="41">
        <f t="shared" si="2"/>
        <v>71427.123711062304</v>
      </c>
      <c r="H18" s="42">
        <f t="shared" si="3"/>
        <v>661303.88284275937</v>
      </c>
      <c r="I18" s="40">
        <f>G18/(1+Inputs!C22)^B18</f>
        <v>41761.959912872924</v>
      </c>
      <c r="J18" s="40">
        <f t="shared" si="0"/>
        <v>71427.123711062304</v>
      </c>
      <c r="K18" s="40">
        <f t="shared" si="4"/>
        <v>478540.56437742733</v>
      </c>
    </row>
    <row r="19" spans="2:11" ht="16.5" customHeight="1">
      <c r="B19" s="44">
        <v>12</v>
      </c>
      <c r="C19" s="45">
        <f>C18*(1-Inputs!$C$14)</f>
        <v>225808.71993470582</v>
      </c>
      <c r="D19" s="46">
        <f>D18*(1+Inputs!$C$21)</f>
        <v>0.32327732018260968</v>
      </c>
      <c r="E19" s="47">
        <f t="shared" si="1"/>
        <v>72998.837854357131</v>
      </c>
      <c r="F19" s="48">
        <f>Inputs!C19</f>
        <v>500</v>
      </c>
      <c r="G19" s="49">
        <f t="shared" si="2"/>
        <v>72498.837854357131</v>
      </c>
      <c r="H19" s="50">
        <f t="shared" si="3"/>
        <v>733802.72069711646</v>
      </c>
      <c r="I19" s="48">
        <f>G19/(1+Inputs!C22)^B19</f>
        <v>40370.065691693744</v>
      </c>
      <c r="J19" s="48">
        <f t="shared" si="0"/>
        <v>72498.837854357131</v>
      </c>
      <c r="K19" s="48">
        <f t="shared" si="4"/>
        <v>518910.63006912108</v>
      </c>
    </row>
    <row r="20" spans="2:11" ht="16.5" customHeight="1">
      <c r="B20" s="36">
        <v>13</v>
      </c>
      <c r="C20" s="45">
        <f>C19*(1-Inputs!$C$14)</f>
        <v>224679.6763350323</v>
      </c>
      <c r="D20" s="46">
        <f>D19*(1+Inputs!$C$21)</f>
        <v>0.3297428665862619</v>
      </c>
      <c r="E20" s="39">
        <f t="shared" si="1"/>
        <v>74086.520538387063</v>
      </c>
      <c r="F20" s="40">
        <f>Inputs!C19</f>
        <v>500</v>
      </c>
      <c r="G20" s="41">
        <f t="shared" si="2"/>
        <v>73586.520538387063</v>
      </c>
      <c r="H20" s="42">
        <f t="shared" si="3"/>
        <v>807389.24123550346</v>
      </c>
      <c r="I20" s="40">
        <f>G20/(1+Inputs!C22)^B20</f>
        <v>39024.502961205144</v>
      </c>
      <c r="J20" s="40">
        <f t="shared" si="0"/>
        <v>73586.520538387063</v>
      </c>
      <c r="K20" s="40">
        <f t="shared" si="4"/>
        <v>557935.13303032622</v>
      </c>
    </row>
    <row r="21" spans="2:11" ht="16.5" customHeight="1">
      <c r="B21" s="44">
        <v>14</v>
      </c>
      <c r="C21" s="45">
        <f>C20*(1-Inputs!$C$14)</f>
        <v>223556.27795335714</v>
      </c>
      <c r="D21" s="46">
        <f>D20*(1+Inputs!$C$21)</f>
        <v>0.33633772391798716</v>
      </c>
      <c r="E21" s="47">
        <f t="shared" si="1"/>
        <v>75190.409694409042</v>
      </c>
      <c r="F21" s="48">
        <f>Inputs!C19</f>
        <v>500</v>
      </c>
      <c r="G21" s="49">
        <f t="shared" si="2"/>
        <v>74690.409694409042</v>
      </c>
      <c r="H21" s="50">
        <f t="shared" si="3"/>
        <v>882079.65092991246</v>
      </c>
      <c r="I21" s="48">
        <f>G21/(1+Inputs!C22)^B21</f>
        <v>37723.732332751832</v>
      </c>
      <c r="J21" s="48">
        <f t="shared" si="0"/>
        <v>74690.409694409042</v>
      </c>
      <c r="K21" s="48">
        <f t="shared" si="4"/>
        <v>595658.86536307808</v>
      </c>
    </row>
    <row r="22" spans="2:11" ht="16.5" customHeight="1">
      <c r="B22" s="36">
        <v>15</v>
      </c>
      <c r="C22" s="45">
        <f>C21*(1-Inputs!$C$14)</f>
        <v>222438.49656359036</v>
      </c>
      <c r="D22" s="46">
        <f>D21*(1+Inputs!$C$21)</f>
        <v>0.34306447839634691</v>
      </c>
      <c r="E22" s="39">
        <f t="shared" si="1"/>
        <v>76310.746798855733</v>
      </c>
      <c r="F22" s="40">
        <f>Inputs!C19</f>
        <v>500</v>
      </c>
      <c r="G22" s="41">
        <f t="shared" si="2"/>
        <v>75810.746798855733</v>
      </c>
      <c r="H22" s="42">
        <f t="shared" si="3"/>
        <v>957890.39772876818</v>
      </c>
      <c r="I22" s="40">
        <f>G22/(1+Inputs!C22)^B22</f>
        <v>36466.265429294894</v>
      </c>
      <c r="J22" s="40">
        <f t="shared" si="0"/>
        <v>75810.746798855733</v>
      </c>
      <c r="K22" s="40">
        <f t="shared" si="4"/>
        <v>632125.13079237298</v>
      </c>
    </row>
    <row r="23" spans="2:11" ht="16.5" customHeight="1">
      <c r="B23" s="44">
        <v>16</v>
      </c>
      <c r="C23" s="45">
        <f>C22*(1-Inputs!$C$14)</f>
        <v>221326.30408077242</v>
      </c>
      <c r="D23" s="46">
        <f>D22*(1+Inputs!$C$21)</f>
        <v>0.34992576796427383</v>
      </c>
      <c r="E23" s="47">
        <f t="shared" si="1"/>
        <v>77447.77692615868</v>
      </c>
      <c r="F23" s="48">
        <f>Inputs!C19</f>
        <v>500</v>
      </c>
      <c r="G23" s="49">
        <f t="shared" si="2"/>
        <v>76947.77692615868</v>
      </c>
      <c r="H23" s="50">
        <f t="shared" si="3"/>
        <v>1034838.1746549269</v>
      </c>
      <c r="I23" s="48">
        <f>G23/(1+Inputs!C22)^B23</f>
        <v>35250.6632014973</v>
      </c>
      <c r="J23" s="48">
        <f t="shared" si="0"/>
        <v>76947.77692615868</v>
      </c>
      <c r="K23" s="48">
        <f t="shared" si="4"/>
        <v>667375.79399387026</v>
      </c>
    </row>
    <row r="24" spans="2:11" ht="16.5" customHeight="1">
      <c r="B24" s="36">
        <v>17</v>
      </c>
      <c r="C24" s="45">
        <f>C23*(1-Inputs!$C$14)</f>
        <v>220219.67256036855</v>
      </c>
      <c r="D24" s="46">
        <f>D23*(1+Inputs!$C$21)</f>
        <v>0.3569242833235593</v>
      </c>
      <c r="E24" s="39">
        <f t="shared" si="1"/>
        <v>78601.748802358445</v>
      </c>
      <c r="F24" s="40">
        <f>Inputs!C19</f>
        <v>500</v>
      </c>
      <c r="G24" s="41">
        <f t="shared" si="2"/>
        <v>78101.748802358445</v>
      </c>
      <c r="H24" s="42">
        <f t="shared" si="3"/>
        <v>1112939.9234572854</v>
      </c>
      <c r="I24" s="40">
        <f>G24/(1+Inputs!C22)^B24</f>
        <v>34075.534299084233</v>
      </c>
      <c r="J24" s="40">
        <f t="shared" si="0"/>
        <v>78101.748802358445</v>
      </c>
      <c r="K24" s="40">
        <f t="shared" si="4"/>
        <v>701451.32829295448</v>
      </c>
    </row>
    <row r="25" spans="2:11" ht="16.5" customHeight="1">
      <c r="B25" s="44">
        <v>18</v>
      </c>
      <c r="C25" s="45">
        <f>C24*(1-Inputs!$C$14)</f>
        <v>219118.57419756672</v>
      </c>
      <c r="D25" s="46">
        <f>D24*(1+Inputs!$C$21)</f>
        <v>0.36406276899003048</v>
      </c>
      <c r="E25" s="47">
        <f t="shared" si="1"/>
        <v>79772.914859513592</v>
      </c>
      <c r="F25" s="48">
        <f>Inputs!C19</f>
        <v>500</v>
      </c>
      <c r="G25" s="49">
        <f t="shared" si="2"/>
        <v>79272.914859513592</v>
      </c>
      <c r="H25" s="50">
        <f t="shared" si="3"/>
        <v>1192212.8383167989</v>
      </c>
      <c r="I25" s="48">
        <f>G25/(1+Inputs!C22)^B25</f>
        <v>32939.533495679323</v>
      </c>
      <c r="J25" s="48">
        <f t="shared" si="0"/>
        <v>79272.914859513592</v>
      </c>
      <c r="K25" s="48">
        <f t="shared" si="4"/>
        <v>734390.86178863375</v>
      </c>
    </row>
    <row r="26" spans="2:11" ht="16.5" customHeight="1">
      <c r="B26" s="36">
        <v>19</v>
      </c>
      <c r="C26" s="45">
        <f>C25*(1-Inputs!$C$14)</f>
        <v>218022.98132657888</v>
      </c>
      <c r="D26" s="46">
        <f>D25*(1+Inputs!$C$21)</f>
        <v>0.3713440243698311</v>
      </c>
      <c r="E26" s="39">
        <f t="shared" si="1"/>
        <v>80961.531290920335</v>
      </c>
      <c r="F26" s="40">
        <f>Inputs!C19</f>
        <v>500</v>
      </c>
      <c r="G26" s="41">
        <f t="shared" si="2"/>
        <v>80461.531290920335</v>
      </c>
      <c r="H26" s="42">
        <f t="shared" si="3"/>
        <v>1272674.3696077191</v>
      </c>
      <c r="I26" s="40">
        <f>G26/(1+Inputs!C22)^B26</f>
        <v>31841.360165374957</v>
      </c>
      <c r="J26" s="40">
        <f t="shared" si="0"/>
        <v>80461.531290920335</v>
      </c>
      <c r="K26" s="40">
        <f t="shared" si="4"/>
        <v>766232.22195400868</v>
      </c>
    </row>
    <row r="27" spans="2:11" ht="16.5" customHeight="1">
      <c r="B27" s="44">
        <v>20</v>
      </c>
      <c r="C27" s="45">
        <f>C26*(1-Inputs!$C$14)</f>
        <v>216932.86641994599</v>
      </c>
      <c r="D27" s="46">
        <f>D26*(1+Inputs!$C$21)</f>
        <v>0.37877090485722775</v>
      </c>
      <c r="E27" s="47">
        <f t="shared" si="1"/>
        <v>82167.858107155058</v>
      </c>
      <c r="F27" s="48">
        <f>Inputs!C19</f>
        <v>500</v>
      </c>
      <c r="G27" s="49">
        <f t="shared" si="2"/>
        <v>81667.858107155058</v>
      </c>
      <c r="H27" s="50">
        <f t="shared" si="3"/>
        <v>1354342.2277148741</v>
      </c>
      <c r="I27" s="48">
        <f>G27/(1+Inputs!C22)^B27</f>
        <v>30779.75680935126</v>
      </c>
      <c r="J27" s="48">
        <f t="shared" si="0"/>
        <v>81667.858107155058</v>
      </c>
      <c r="K27" s="48">
        <f t="shared" si="4"/>
        <v>797011.97876335995</v>
      </c>
    </row>
    <row r="28" spans="2:11" ht="16.5" customHeight="1">
      <c r="B28" s="36">
        <v>21</v>
      </c>
      <c r="C28" s="45">
        <f>C27*(1-Inputs!$C$14)</f>
        <v>215848.20208784626</v>
      </c>
      <c r="D28" s="46">
        <f>D27*(1+Inputs!$C$21)</f>
        <v>0.38634632295437232</v>
      </c>
      <c r="E28" s="39">
        <f t="shared" si="1"/>
        <v>83392.159192951673</v>
      </c>
      <c r="F28" s="40">
        <f>Inputs!C19</f>
        <v>500</v>
      </c>
      <c r="G28" s="41">
        <f t="shared" si="2"/>
        <v>82892.159192951673</v>
      </c>
      <c r="H28" s="42">
        <f t="shared" si="3"/>
        <v>1437234.3869078257</v>
      </c>
      <c r="I28" s="40">
        <f>G28/(1+Inputs!C22)^B28</f>
        <v>29753.50763091238</v>
      </c>
      <c r="J28" s="40">
        <f t="shared" si="0"/>
        <v>82892.159192951673</v>
      </c>
      <c r="K28" s="40">
        <f t="shared" si="4"/>
        <v>826765.4863942723</v>
      </c>
    </row>
    <row r="29" spans="2:11" ht="16.5" customHeight="1">
      <c r="B29" s="44">
        <v>22</v>
      </c>
      <c r="C29" s="45">
        <f>C28*(1-Inputs!$C$14)</f>
        <v>214768.96107740703</v>
      </c>
      <c r="D29" s="46">
        <f>D28*(1+Inputs!$C$21)</f>
        <v>0.39407324941345978</v>
      </c>
      <c r="E29" s="47">
        <f t="shared" si="1"/>
        <v>84634.702364926663</v>
      </c>
      <c r="F29" s="48">
        <f>Inputs!C19</f>
        <v>500</v>
      </c>
      <c r="G29" s="49">
        <f t="shared" si="2"/>
        <v>84134.702364926663</v>
      </c>
      <c r="H29" s="50">
        <f t="shared" si="3"/>
        <v>1521369.0892727524</v>
      </c>
      <c r="I29" s="48">
        <f>G29/(1+Inputs!C22)^B29</f>
        <v>28761.437157361481</v>
      </c>
      <c r="J29" s="48">
        <f t="shared" si="0"/>
        <v>84134.702364926663</v>
      </c>
      <c r="K29" s="48">
        <f t="shared" si="4"/>
        <v>855526.92355163384</v>
      </c>
    </row>
    <row r="30" spans="2:11" ht="16.5" customHeight="1">
      <c r="B30" s="36">
        <v>23</v>
      </c>
      <c r="C30" s="45">
        <f>C29*(1-Inputs!$C$14)</f>
        <v>213695.11627202001</v>
      </c>
      <c r="D30" s="46">
        <f>D29*(1+Inputs!$C$21)</f>
        <v>0.40195471440172897</v>
      </c>
      <c r="E30" s="39">
        <f t="shared" si="1"/>
        <v>85895.759430164064</v>
      </c>
      <c r="F30" s="40">
        <f>Inputs!C19</f>
        <v>500</v>
      </c>
      <c r="G30" s="41">
        <f t="shared" si="2"/>
        <v>85395.759430164064</v>
      </c>
      <c r="H30" s="42">
        <f t="shared" si="3"/>
        <v>1606764.8487029164</v>
      </c>
      <c r="I30" s="40">
        <f>G30/(1+Inputs!C22)^B30</f>
        <v>27802.408907186433</v>
      </c>
      <c r="J30" s="40">
        <f t="shared" si="0"/>
        <v>85395.759430164064</v>
      </c>
      <c r="K30" s="40">
        <f t="shared" si="4"/>
        <v>883329.33245882031</v>
      </c>
    </row>
    <row r="31" spans="2:11" ht="16.5" customHeight="1">
      <c r="B31" s="44">
        <v>24</v>
      </c>
      <c r="C31" s="45">
        <f>C30*(1-Inputs!$C$14)</f>
        <v>212626.6406906599</v>
      </c>
      <c r="D31" s="46">
        <f>D30*(1+Inputs!$C$21)</f>
        <v>0.40999380868976354</v>
      </c>
      <c r="E31" s="47">
        <f t="shared" si="1"/>
        <v>87175.606245673509</v>
      </c>
      <c r="F31" s="48">
        <f>Inputs!C19</f>
        <v>500</v>
      </c>
      <c r="G31" s="49">
        <f t="shared" si="2"/>
        <v>86675.606245673509</v>
      </c>
      <c r="H31" s="50">
        <f t="shared" si="3"/>
        <v>1693440.4549485899</v>
      </c>
      <c r="I31" s="48">
        <f>G31/(1+Inputs!C22)^B31</f>
        <v>26875.324101077811</v>
      </c>
      <c r="J31" s="48">
        <f t="shared" si="0"/>
        <v>86675.606245673509</v>
      </c>
      <c r="K31" s="48">
        <f t="shared" si="4"/>
        <v>910204.65655989817</v>
      </c>
    </row>
    <row r="32" spans="2:11" ht="19.5" customHeight="1">
      <c r="B32" s="36">
        <v>25</v>
      </c>
      <c r="C32" s="45">
        <f>C31*(1-Inputs!$C$14)</f>
        <v>211563.5074872066</v>
      </c>
      <c r="D32" s="46">
        <f>D31*(1+Inputs!$C$21)</f>
        <v>0.41819368486355879</v>
      </c>
      <c r="E32" s="39">
        <f t="shared" si="1"/>
        <v>88474.522778734041</v>
      </c>
      <c r="F32" s="40">
        <f>Inputs!C19</f>
        <v>500</v>
      </c>
      <c r="G32" s="41">
        <f t="shared" si="2"/>
        <v>87974.522778734041</v>
      </c>
      <c r="H32" s="42">
        <f t="shared" si="3"/>
        <v>1781414.977727324</v>
      </c>
      <c r="I32" s="40">
        <f>G32/(1+Inputs!C22)^B32</f>
        <v>25979.120415348068</v>
      </c>
      <c r="J32" s="40">
        <f t="shared" si="0"/>
        <v>87974.522778734041</v>
      </c>
      <c r="K32" s="40">
        <f t="shared" si="4"/>
        <v>936183.77697524626</v>
      </c>
    </row>
    <row r="33" spans="2:10">
      <c r="B33" s="1" t="s">
        <v>13</v>
      </c>
      <c r="C33" s="51"/>
      <c r="D33" s="51"/>
      <c r="E33" s="52">
        <f>SUM(E8:E32)</f>
        <v>1862714.977727324</v>
      </c>
      <c r="F33" s="51"/>
      <c r="G33" s="52">
        <f>SUM(G8:G32)</f>
        <v>1850214.977727324</v>
      </c>
      <c r="H33" s="52">
        <f>H32</f>
        <v>1781414.977727324</v>
      </c>
      <c r="I33" s="52">
        <f>SUM(I7:I32)</f>
        <v>936183.77697524626</v>
      </c>
      <c r="J33" s="52">
        <f>SUM(J7:J32)</f>
        <v>1781414.977727324</v>
      </c>
    </row>
    <row r="34" spans="2:10" ht="13.5" customHeight="1">
      <c r="B34" s="1" t="s">
        <v>14</v>
      </c>
      <c r="C34" s="1"/>
      <c r="D34" s="131">
        <f>I33</f>
        <v>936183.77697524626</v>
      </c>
      <c r="E34" s="132"/>
      <c r="F34" s="132"/>
      <c r="G34" s="132"/>
      <c r="H34" s="132"/>
      <c r="I34" s="132"/>
      <c r="J34" s="133"/>
    </row>
    <row r="35" spans="2:10" ht="61.5" customHeight="1">
      <c r="B35" s="77" t="s">
        <v>15</v>
      </c>
      <c r="C35" s="53">
        <f>-Inputs!C18</f>
        <v>-68800</v>
      </c>
    </row>
  </sheetData>
  <mergeCells count="1">
    <mergeCell ref="D34:J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4"/>
  <sheetViews>
    <sheetView topLeftCell="A18" workbookViewId="0">
      <selection activeCell="G15" sqref="G15"/>
    </sheetView>
  </sheetViews>
  <sheetFormatPr baseColWidth="10" defaultColWidth="9.140625" defaultRowHeight="15"/>
  <cols>
    <col min="2" max="2" width="52.140625" bestFit="1" customWidth="1"/>
    <col min="3" max="3" width="18.85546875" bestFit="1" customWidth="1"/>
    <col min="4" max="4" width="11.5703125" bestFit="1" customWidth="1"/>
    <col min="5" max="5" width="10.85546875" bestFit="1" customWidth="1"/>
    <col min="6" max="6" width="20" bestFit="1" customWidth="1"/>
    <col min="8" max="8" width="11.42578125" bestFit="1" customWidth="1"/>
  </cols>
  <sheetData>
    <row r="2" spans="2:4" ht="18.75">
      <c r="B2" s="101" t="s">
        <v>114</v>
      </c>
    </row>
    <row r="3" spans="2:4">
      <c r="B3" s="102" t="s">
        <v>1</v>
      </c>
    </row>
    <row r="5" spans="2:4">
      <c r="B5" s="104" t="s">
        <v>115</v>
      </c>
      <c r="C5" s="104"/>
      <c r="D5" s="104"/>
    </row>
    <row r="7" spans="2:4">
      <c r="B7" t="s">
        <v>116</v>
      </c>
      <c r="C7" s="91">
        <v>0.7</v>
      </c>
      <c r="D7" t="s">
        <v>90</v>
      </c>
    </row>
    <row r="8" spans="2:4">
      <c r="B8" t="s">
        <v>117</v>
      </c>
      <c r="C8" s="91">
        <v>0.3</v>
      </c>
      <c r="D8" t="s">
        <v>90</v>
      </c>
    </row>
    <row r="9" spans="2:4">
      <c r="B9" t="s">
        <v>118</v>
      </c>
      <c r="C9" s="91">
        <v>0.06</v>
      </c>
      <c r="D9" t="s">
        <v>93</v>
      </c>
    </row>
    <row r="10" spans="2:4">
      <c r="B10" t="s">
        <v>119</v>
      </c>
      <c r="C10" s="91">
        <v>15</v>
      </c>
      <c r="D10" t="s">
        <v>105</v>
      </c>
    </row>
    <row r="11" spans="2:4">
      <c r="B11" t="s">
        <v>120</v>
      </c>
      <c r="C11" s="91">
        <v>6</v>
      </c>
      <c r="D11" t="s">
        <v>121</v>
      </c>
    </row>
    <row r="12" spans="2:4">
      <c r="B12" t="s">
        <v>122</v>
      </c>
      <c r="C12" s="91">
        <v>1.4999999999999999E-2</v>
      </c>
      <c r="D12" t="s">
        <v>90</v>
      </c>
    </row>
    <row r="13" spans="2:4">
      <c r="B13" t="s">
        <v>123</v>
      </c>
      <c r="C13" s="91">
        <v>5.0000000000000001E-3</v>
      </c>
      <c r="D13" t="s">
        <v>90</v>
      </c>
    </row>
    <row r="15" spans="2:4">
      <c r="B15" s="104" t="s">
        <v>124</v>
      </c>
      <c r="C15" s="104"/>
      <c r="D15" s="104"/>
    </row>
    <row r="16" spans="2:4">
      <c r="B16" t="s">
        <v>125</v>
      </c>
      <c r="C16" s="103">
        <f>Inputs!C18</f>
        <v>68800</v>
      </c>
    </row>
    <row r="17" spans="2:8">
      <c r="B17" t="s">
        <v>126</v>
      </c>
      <c r="C17" s="103">
        <f>C16*C7</f>
        <v>48160</v>
      </c>
    </row>
    <row r="18" spans="2:8">
      <c r="B18" t="s">
        <v>127</v>
      </c>
      <c r="C18" s="103">
        <f>C16*C8</f>
        <v>20640</v>
      </c>
    </row>
    <row r="19" spans="2:8">
      <c r="B19" t="s">
        <v>128</v>
      </c>
      <c r="C19" s="103">
        <f>C17*C9</f>
        <v>2889.6</v>
      </c>
    </row>
    <row r="20" spans="2:8">
      <c r="B20" t="s">
        <v>129</v>
      </c>
      <c r="C20" s="103">
        <f>C16+C19</f>
        <v>71689.600000000006</v>
      </c>
    </row>
    <row r="21" spans="2:8">
      <c r="B21" t="s">
        <v>130</v>
      </c>
      <c r="C21" s="103">
        <f>C17/C20</f>
        <v>0.67178502879078694</v>
      </c>
    </row>
    <row r="23" spans="2:8">
      <c r="B23" s="87" t="s">
        <v>131</v>
      </c>
    </row>
    <row r="25" spans="2:8">
      <c r="B25" s="104" t="s">
        <v>3</v>
      </c>
      <c r="C25" s="104" t="s">
        <v>132</v>
      </c>
      <c r="D25" s="104" t="s">
        <v>133</v>
      </c>
      <c r="E25" s="104" t="s">
        <v>134</v>
      </c>
      <c r="F25" s="104" t="s">
        <v>135</v>
      </c>
      <c r="G25" s="104" t="s">
        <v>136</v>
      </c>
      <c r="H25" s="104" t="s">
        <v>137</v>
      </c>
    </row>
    <row r="26" spans="2:8">
      <c r="B26">
        <v>1</v>
      </c>
      <c r="C26" s="105">
        <f>IF(B26=1,C17,C25-D25)</f>
        <v>48160</v>
      </c>
      <c r="D26" s="105">
        <f>IF(B26&lt;=$C$10,C17/$C$10,0)</f>
        <v>3210.6666666666665</v>
      </c>
      <c r="E26" s="105">
        <f t="shared" ref="E26:E40" si="0">C26*$C$9</f>
        <v>2889.6</v>
      </c>
      <c r="F26" s="105">
        <f t="shared" ref="F26:F40" si="1">D26+E26</f>
        <v>6100.2666666666664</v>
      </c>
      <c r="G26" s="106">
        <f>IF(F26=0,"N/A",'Annual Cashflow'!G32/F26)</f>
        <v>14.421422469848428</v>
      </c>
      <c r="H26" s="105">
        <f>'Annual Cashflow'!G32</f>
        <v>87974.522778734041</v>
      </c>
    </row>
    <row r="27" spans="2:8">
      <c r="B27">
        <v>2</v>
      </c>
      <c r="C27" s="105">
        <f>IF(B27=1,C17,C26-D26)</f>
        <v>44949.333333333336</v>
      </c>
      <c r="D27" s="105">
        <f>IF(B27&lt;=$C$10,C17/$C$10,0)</f>
        <v>3210.6666666666665</v>
      </c>
      <c r="E27" s="105">
        <f t="shared" si="0"/>
        <v>2696.96</v>
      </c>
      <c r="F27" s="105">
        <f t="shared" si="1"/>
        <v>5907.626666666667</v>
      </c>
      <c r="G27" s="106">
        <f>IF(F27=0,"N/A",'Annual Cashflow'!G33/F27)</f>
        <v>313.19091102473027</v>
      </c>
      <c r="H27" s="105">
        <f>'Annual Cashflow'!G33</f>
        <v>1850214.977727324</v>
      </c>
    </row>
    <row r="28" spans="2:8">
      <c r="B28">
        <v>3</v>
      </c>
      <c r="C28" s="105">
        <f>IF(B28=1,C17,C27-D27)</f>
        <v>41738.666666666672</v>
      </c>
      <c r="D28" s="105">
        <f>IF(B28&lt;=$C$10,C17/$C$10,0)</f>
        <v>3210.6666666666665</v>
      </c>
      <c r="E28" s="105">
        <f t="shared" si="0"/>
        <v>2504.3200000000002</v>
      </c>
      <c r="F28" s="105">
        <f t="shared" si="1"/>
        <v>5714.9866666666667</v>
      </c>
      <c r="G28" s="106">
        <f>IF(F28=0,"N/A",'Annual Cashflow'!G34/F28)</f>
        <v>0</v>
      </c>
      <c r="H28" s="105">
        <f>'Annual Cashflow'!G34</f>
        <v>0</v>
      </c>
    </row>
    <row r="29" spans="2:8">
      <c r="B29">
        <v>4</v>
      </c>
      <c r="C29" s="105">
        <f>IF(B29=1,C17,C28-D28)</f>
        <v>38528.000000000007</v>
      </c>
      <c r="D29" s="105">
        <f>IF(B29&lt;=$C$10,C17/$C$10,0)</f>
        <v>3210.6666666666665</v>
      </c>
      <c r="E29" s="105">
        <f t="shared" si="0"/>
        <v>2311.6800000000003</v>
      </c>
      <c r="F29" s="105">
        <f t="shared" si="1"/>
        <v>5522.3466666666664</v>
      </c>
      <c r="G29" s="106">
        <f>IF(F29=0,"N/A",'Annual Cashflow'!G35/F29)</f>
        <v>0</v>
      </c>
      <c r="H29" s="105">
        <f>'Annual Cashflow'!G35</f>
        <v>0</v>
      </c>
    </row>
    <row r="30" spans="2:8">
      <c r="B30">
        <v>5</v>
      </c>
      <c r="C30" s="105">
        <f>IF(B30=1,C17,C29-D29)</f>
        <v>35317.333333333343</v>
      </c>
      <c r="D30" s="105">
        <f>IF(B30&lt;=$C$10,C17/$C$10,0)</f>
        <v>3210.6666666666665</v>
      </c>
      <c r="E30" s="105">
        <f t="shared" si="0"/>
        <v>2119.0400000000004</v>
      </c>
      <c r="F30" s="105">
        <f t="shared" si="1"/>
        <v>5329.7066666666669</v>
      </c>
      <c r="G30" s="106">
        <f>IF(F30=0,"N/A",'Annual Cashflow'!G36/F30)</f>
        <v>0</v>
      </c>
      <c r="H30" s="105">
        <f>'Annual Cashflow'!G36</f>
        <v>0</v>
      </c>
    </row>
    <row r="31" spans="2:8">
      <c r="B31">
        <v>6</v>
      </c>
      <c r="C31" s="105">
        <f>IF(B31=1,C17,C30-D30)</f>
        <v>32106.666666666675</v>
      </c>
      <c r="D31" s="105">
        <f>IF(B31&lt;=$C$10,C17/$C$10,0)</f>
        <v>3210.6666666666665</v>
      </c>
      <c r="E31" s="105">
        <f t="shared" si="0"/>
        <v>1926.4000000000005</v>
      </c>
      <c r="F31" s="105">
        <f t="shared" si="1"/>
        <v>5137.0666666666675</v>
      </c>
      <c r="G31" s="106">
        <f>IF(F31=0,"N/A",'Annual Cashflow'!G37/F31)</f>
        <v>0</v>
      </c>
      <c r="H31" s="105">
        <f>'Annual Cashflow'!G37</f>
        <v>0</v>
      </c>
    </row>
    <row r="32" spans="2:8">
      <c r="B32">
        <v>7</v>
      </c>
      <c r="C32" s="105">
        <f>IF(B32=1,C17,C31-D31)</f>
        <v>28896.000000000007</v>
      </c>
      <c r="D32" s="105">
        <f>IF(B32&lt;=$C$10,C17/$C$10,0)</f>
        <v>3210.6666666666665</v>
      </c>
      <c r="E32" s="105">
        <f t="shared" si="0"/>
        <v>1733.7600000000004</v>
      </c>
      <c r="F32" s="105">
        <f t="shared" si="1"/>
        <v>4944.4266666666672</v>
      </c>
      <c r="G32" s="106">
        <f>IF(F32=0,"N/A",'Annual Cashflow'!G38/F32)</f>
        <v>0</v>
      </c>
      <c r="H32" s="105">
        <f>'Annual Cashflow'!G38</f>
        <v>0</v>
      </c>
    </row>
    <row r="33" spans="2:8">
      <c r="B33">
        <v>8</v>
      </c>
      <c r="C33" s="105">
        <f>IF(B33=1,C17,C32-D32)</f>
        <v>25685.333333333339</v>
      </c>
      <c r="D33" s="105">
        <f>IF(B33&lt;=$C$10,C17/$C$10,0)</f>
        <v>3210.6666666666665</v>
      </c>
      <c r="E33" s="105">
        <f t="shared" si="0"/>
        <v>1541.1200000000003</v>
      </c>
      <c r="F33" s="105">
        <f t="shared" si="1"/>
        <v>4751.7866666666669</v>
      </c>
      <c r="G33" s="106">
        <f>IF(F33=0,"N/A",'Annual Cashflow'!G39/F33)</f>
        <v>0</v>
      </c>
      <c r="H33" s="105">
        <f>'Annual Cashflow'!G39</f>
        <v>0</v>
      </c>
    </row>
    <row r="34" spans="2:8">
      <c r="B34">
        <v>9</v>
      </c>
      <c r="C34" s="105">
        <f>IF(B34=1,C17,C33-D33)</f>
        <v>22474.666666666672</v>
      </c>
      <c r="D34" s="105">
        <f>IF(B34&lt;=$C$10,C17/$C$10,0)</f>
        <v>3210.6666666666665</v>
      </c>
      <c r="E34" s="105">
        <f t="shared" si="0"/>
        <v>1348.4800000000002</v>
      </c>
      <c r="F34" s="105">
        <f t="shared" si="1"/>
        <v>4559.1466666666665</v>
      </c>
      <c r="G34" s="106">
        <f>IF(F34=0,"N/A",'Annual Cashflow'!G40/F34)</f>
        <v>0</v>
      </c>
      <c r="H34" s="105">
        <f>'Annual Cashflow'!G40</f>
        <v>0</v>
      </c>
    </row>
    <row r="35" spans="2:8">
      <c r="B35">
        <v>10</v>
      </c>
      <c r="C35" s="105">
        <f>IF(B35=1,C17,C34-D34)</f>
        <v>19264.000000000004</v>
      </c>
      <c r="D35" s="105">
        <f>IF(B35&lt;=$C$10,C17/$C$10,0)</f>
        <v>3210.6666666666665</v>
      </c>
      <c r="E35" s="105">
        <f t="shared" si="0"/>
        <v>1155.8400000000001</v>
      </c>
      <c r="F35" s="105">
        <f t="shared" si="1"/>
        <v>4366.5066666666662</v>
      </c>
      <c r="G35" s="106">
        <f>IF(F35=0,"N/A",'Annual Cashflow'!G41/F35)</f>
        <v>0</v>
      </c>
      <c r="H35" s="105">
        <f>'Annual Cashflow'!G41</f>
        <v>0</v>
      </c>
    </row>
    <row r="36" spans="2:8">
      <c r="B36">
        <v>11</v>
      </c>
      <c r="C36" s="105">
        <f>IF(B36=1,C17,C35-D35)</f>
        <v>16053.333333333338</v>
      </c>
      <c r="D36" s="105">
        <f>IF(B36&lt;=$C$10,C17/$C$10,0)</f>
        <v>3210.6666666666665</v>
      </c>
      <c r="E36" s="105">
        <f t="shared" si="0"/>
        <v>963.20000000000027</v>
      </c>
      <c r="F36" s="105">
        <f t="shared" si="1"/>
        <v>4173.8666666666668</v>
      </c>
      <c r="G36" s="106">
        <f>IF(F36=0,"N/A",'Annual Cashflow'!G42/F36)</f>
        <v>0</v>
      </c>
      <c r="H36" s="105">
        <f>'Annual Cashflow'!G42</f>
        <v>0</v>
      </c>
    </row>
    <row r="37" spans="2:8">
      <c r="B37">
        <v>12</v>
      </c>
      <c r="C37" s="105">
        <f>IF(B37=1,C17,C36-D36)</f>
        <v>12842.666666666672</v>
      </c>
      <c r="D37" s="105">
        <f>IF(B37&lt;=$C$10,C17/$C$10,0)</f>
        <v>3210.6666666666665</v>
      </c>
      <c r="E37" s="105">
        <f t="shared" si="0"/>
        <v>770.56000000000029</v>
      </c>
      <c r="F37" s="105">
        <f t="shared" si="1"/>
        <v>3981.2266666666669</v>
      </c>
      <c r="G37" s="106">
        <f>IF(F37=0,"N/A",'Annual Cashflow'!G43/F37)</f>
        <v>0</v>
      </c>
      <c r="H37" s="105">
        <f>'Annual Cashflow'!G43</f>
        <v>0</v>
      </c>
    </row>
    <row r="38" spans="2:8">
      <c r="B38">
        <v>13</v>
      </c>
      <c r="C38" s="105">
        <f>IF(B38=1,C17,C37-D37)</f>
        <v>9632.0000000000055</v>
      </c>
      <c r="D38" s="105">
        <f>IF(B38&lt;=$C$10,C17/$C$10,0)</f>
        <v>3210.6666666666665</v>
      </c>
      <c r="E38" s="105">
        <f t="shared" si="0"/>
        <v>577.9200000000003</v>
      </c>
      <c r="F38" s="105">
        <f t="shared" si="1"/>
        <v>3788.586666666667</v>
      </c>
      <c r="G38" s="106">
        <f>IF(F38=0,"N/A",'Annual Cashflow'!G44/F38)</f>
        <v>0</v>
      </c>
      <c r="H38" s="105">
        <f>'Annual Cashflow'!G44</f>
        <v>0</v>
      </c>
    </row>
    <row r="39" spans="2:8">
      <c r="B39">
        <v>14</v>
      </c>
      <c r="C39" s="105">
        <f>IF(B39=1,C17,C38-D38)</f>
        <v>6421.3333333333394</v>
      </c>
      <c r="D39" s="105">
        <f>IF(B39&lt;=$C$10,C17/$C$10,0)</f>
        <v>3210.6666666666665</v>
      </c>
      <c r="E39" s="105">
        <f t="shared" si="0"/>
        <v>385.28000000000037</v>
      </c>
      <c r="F39" s="105">
        <f t="shared" si="1"/>
        <v>3595.9466666666667</v>
      </c>
      <c r="G39" s="106">
        <f>IF(F39=0,"N/A",'Annual Cashflow'!G45/F39)</f>
        <v>0</v>
      </c>
      <c r="H39" s="105">
        <f>'Annual Cashflow'!G45</f>
        <v>0</v>
      </c>
    </row>
    <row r="40" spans="2:8">
      <c r="B40">
        <v>15</v>
      </c>
      <c r="C40" s="105">
        <f>IF(B40=1,C17,C39-D39)</f>
        <v>3210.6666666666729</v>
      </c>
      <c r="D40" s="105">
        <f>IF(B40&lt;=$C$10,C17/$C$10,0)</f>
        <v>3210.6666666666665</v>
      </c>
      <c r="E40" s="105">
        <f t="shared" si="0"/>
        <v>192.64000000000036</v>
      </c>
      <c r="F40" s="105">
        <f t="shared" si="1"/>
        <v>3403.3066666666668</v>
      </c>
      <c r="G40" s="106">
        <f>IF(F40=0,"N/A",'Annual Cashflow'!G46/F40)</f>
        <v>0</v>
      </c>
      <c r="H40" s="105">
        <f>'Annual Cashflow'!G46</f>
        <v>0</v>
      </c>
    </row>
    <row r="42" spans="2:8">
      <c r="B42" t="s">
        <v>138</v>
      </c>
      <c r="C42" s="107">
        <f>MIN(G26:G40)</f>
        <v>0</v>
      </c>
    </row>
    <row r="43" spans="2:8">
      <c r="B43" t="s">
        <v>139</v>
      </c>
      <c r="C43" s="106">
        <f>AVERAGE(G26:G40)</f>
        <v>21.840822232971913</v>
      </c>
    </row>
    <row r="44" spans="2:8">
      <c r="B44" t="s">
        <v>140</v>
      </c>
      <c r="C44" s="106">
        <f>NPV(C9,H26:H40)/C17</f>
        <v>35.915273593199146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49"/>
  <sheetViews>
    <sheetView topLeftCell="A4" zoomScale="70" zoomScaleNormal="70" workbookViewId="0">
      <selection activeCell="H10" sqref="H10"/>
    </sheetView>
  </sheetViews>
  <sheetFormatPr baseColWidth="10" defaultColWidth="9.140625" defaultRowHeight="15"/>
  <cols>
    <col min="2" max="2" width="52.140625" bestFit="1" customWidth="1"/>
    <col min="3" max="3" width="20.28515625" bestFit="1" customWidth="1"/>
    <col min="4" max="4" width="14.42578125" bestFit="1" customWidth="1"/>
    <col min="5" max="5" width="17.28515625" bestFit="1" customWidth="1"/>
    <col min="6" max="6" width="12" bestFit="1" customWidth="1"/>
    <col min="7" max="7" width="20.28515625" bestFit="1" customWidth="1"/>
    <col min="8" max="8" width="16.42578125" bestFit="1" customWidth="1"/>
    <col min="9" max="9" width="15.7109375" bestFit="1" customWidth="1"/>
  </cols>
  <sheetData>
    <row r="2" spans="2:9">
      <c r="B2" s="104" t="s">
        <v>141</v>
      </c>
      <c r="C2" s="104"/>
      <c r="D2" s="104"/>
    </row>
    <row r="3" spans="2:9">
      <c r="B3" s="102" t="s">
        <v>1</v>
      </c>
    </row>
    <row r="5" spans="2:9">
      <c r="B5" s="104" t="s">
        <v>142</v>
      </c>
      <c r="C5" s="104"/>
      <c r="D5" s="104"/>
    </row>
    <row r="7" spans="2:9">
      <c r="B7" t="s">
        <v>143</v>
      </c>
      <c r="C7" s="91">
        <v>0.2</v>
      </c>
      <c r="D7" t="s">
        <v>90</v>
      </c>
    </row>
    <row r="8" spans="2:9">
      <c r="B8" t="s">
        <v>144</v>
      </c>
      <c r="C8" s="91" t="s">
        <v>145</v>
      </c>
    </row>
    <row r="9" spans="2:9">
      <c r="B9" t="s">
        <v>146</v>
      </c>
      <c r="C9" s="91">
        <v>20</v>
      </c>
      <c r="D9" t="s">
        <v>105</v>
      </c>
    </row>
    <row r="10" spans="2:9">
      <c r="B10" t="s">
        <v>147</v>
      </c>
      <c r="C10" s="91">
        <v>0</v>
      </c>
      <c r="D10" t="s">
        <v>105</v>
      </c>
    </row>
    <row r="11" spans="2:9">
      <c r="B11" t="s">
        <v>148</v>
      </c>
      <c r="C11" s="91">
        <v>0.2</v>
      </c>
      <c r="D11" t="s">
        <v>90</v>
      </c>
    </row>
    <row r="12" spans="2:9">
      <c r="B12" t="s">
        <v>149</v>
      </c>
      <c r="C12" s="91" t="s">
        <v>150</v>
      </c>
    </row>
    <row r="15" spans="2:9">
      <c r="B15" s="104" t="s">
        <v>151</v>
      </c>
      <c r="C15" s="104"/>
      <c r="D15" s="104"/>
      <c r="E15" s="104"/>
      <c r="F15" s="104"/>
      <c r="G15" s="104"/>
      <c r="H15" s="104"/>
      <c r="I15" s="104"/>
    </row>
    <row r="17" spans="2:9">
      <c r="B17" s="104" t="s">
        <v>3</v>
      </c>
      <c r="C17" s="104" t="s">
        <v>152</v>
      </c>
      <c r="D17" s="104" t="s">
        <v>153</v>
      </c>
      <c r="E17" s="104" t="s">
        <v>154</v>
      </c>
      <c r="F17" s="104" t="s">
        <v>134</v>
      </c>
      <c r="G17" s="104" t="s">
        <v>155</v>
      </c>
      <c r="H17" s="104" t="s">
        <v>156</v>
      </c>
      <c r="I17" s="104" t="s">
        <v>157</v>
      </c>
    </row>
    <row r="18" spans="2:9">
      <c r="B18">
        <v>1</v>
      </c>
      <c r="C18" s="105">
        <f>'Annual Cashflow'!E24</f>
        <v>78601.748802358445</v>
      </c>
      <c r="D18" s="105">
        <f>'Annual Cashflow'!F24</f>
        <v>500</v>
      </c>
      <c r="E18" s="105">
        <f>IF(B18&lt;=$C$9,Inputs!C18/$C$9,0)</f>
        <v>3440</v>
      </c>
      <c r="F18" s="105">
        <f>IF(B18&lt;=15,'Debt &amp; Equity'!E26,0)</f>
        <v>2889.6</v>
      </c>
      <c r="G18" s="105">
        <f t="shared" ref="G18:G42" si="0">MAX(C18-D18-E18-F18,0)</f>
        <v>71772.148802358439</v>
      </c>
      <c r="H18" s="105">
        <f t="shared" ref="H18:H42" si="1">G18*$C$7</f>
        <v>14354.429760471688</v>
      </c>
      <c r="I18" s="105">
        <f t="shared" ref="I18:I42" si="2">C18-D18-E18-F18-H18</f>
        <v>57417.719041886754</v>
      </c>
    </row>
    <row r="19" spans="2:9">
      <c r="B19">
        <v>2</v>
      </c>
      <c r="C19" s="105">
        <f>'Annual Cashflow'!E25</f>
        <v>79772.914859513592</v>
      </c>
      <c r="D19" s="105">
        <f>'Annual Cashflow'!F25</f>
        <v>500</v>
      </c>
      <c r="E19" s="105">
        <f>IF(B19&lt;=$C$9,Inputs!C18/$C$9,0)</f>
        <v>3440</v>
      </c>
      <c r="F19" s="105">
        <f>IF(B19&lt;=15,'Debt &amp; Equity'!E27,0)</f>
        <v>2696.96</v>
      </c>
      <c r="G19" s="105">
        <f t="shared" si="0"/>
        <v>73135.954859513586</v>
      </c>
      <c r="H19" s="105">
        <f t="shared" si="1"/>
        <v>14627.190971902717</v>
      </c>
      <c r="I19" s="105">
        <f t="shared" si="2"/>
        <v>58508.763887610869</v>
      </c>
    </row>
    <row r="20" spans="2:9">
      <c r="B20">
        <v>3</v>
      </c>
      <c r="C20" s="105">
        <f>'Annual Cashflow'!E26</f>
        <v>80961.531290920335</v>
      </c>
      <c r="D20" s="105">
        <f>'Annual Cashflow'!F26</f>
        <v>500</v>
      </c>
      <c r="E20" s="105">
        <f>IF(B20&lt;=$C$9,Inputs!C18/$C$9,0)</f>
        <v>3440</v>
      </c>
      <c r="F20" s="105">
        <f>IF(B20&lt;=15,'Debt &amp; Equity'!E28,0)</f>
        <v>2504.3200000000002</v>
      </c>
      <c r="G20" s="105">
        <f t="shared" si="0"/>
        <v>74517.211290920328</v>
      </c>
      <c r="H20" s="105">
        <f t="shared" si="1"/>
        <v>14903.442258184066</v>
      </c>
      <c r="I20" s="105">
        <f t="shared" si="2"/>
        <v>59613.769032736265</v>
      </c>
    </row>
    <row r="21" spans="2:9">
      <c r="B21">
        <v>4</v>
      </c>
      <c r="C21" s="105">
        <f>'Annual Cashflow'!E27</f>
        <v>82167.858107155058</v>
      </c>
      <c r="D21" s="105">
        <f>'Annual Cashflow'!F27</f>
        <v>500</v>
      </c>
      <c r="E21" s="105">
        <f>IF(B21&lt;=$C$9,Inputs!C18/$C$9,0)</f>
        <v>3440</v>
      </c>
      <c r="F21" s="105">
        <f>IF(B21&lt;=15,'Debt &amp; Equity'!E29,0)</f>
        <v>2311.6800000000003</v>
      </c>
      <c r="G21" s="105">
        <f t="shared" si="0"/>
        <v>75916.17810715505</v>
      </c>
      <c r="H21" s="105">
        <f t="shared" si="1"/>
        <v>15183.235621431011</v>
      </c>
      <c r="I21" s="105">
        <f t="shared" si="2"/>
        <v>60732.942485724037</v>
      </c>
    </row>
    <row r="22" spans="2:9">
      <c r="B22">
        <v>5</v>
      </c>
      <c r="C22" s="105">
        <f>'Annual Cashflow'!E28</f>
        <v>83392.159192951673</v>
      </c>
      <c r="D22" s="105">
        <f>'Annual Cashflow'!F28</f>
        <v>500</v>
      </c>
      <c r="E22" s="105">
        <f>IF(B22&lt;=$C$9,Inputs!C18/$C$9,0)</f>
        <v>3440</v>
      </c>
      <c r="F22" s="105">
        <f>IF(B22&lt;=15,'Debt &amp; Equity'!E30,0)</f>
        <v>2119.0400000000004</v>
      </c>
      <c r="G22" s="105">
        <f t="shared" si="0"/>
        <v>77333.119192951679</v>
      </c>
      <c r="H22" s="105">
        <f t="shared" si="1"/>
        <v>15466.623838590336</v>
      </c>
      <c r="I22" s="105">
        <f t="shared" si="2"/>
        <v>61866.495354361345</v>
      </c>
    </row>
    <row r="23" spans="2:9">
      <c r="B23">
        <v>6</v>
      </c>
      <c r="C23" s="105">
        <f>'Annual Cashflow'!E29</f>
        <v>84634.702364926663</v>
      </c>
      <c r="D23" s="105">
        <f>'Annual Cashflow'!F29</f>
        <v>500</v>
      </c>
      <c r="E23" s="105">
        <f>IF(B23&lt;=$C$9,Inputs!C18/$C$9,0)</f>
        <v>3440</v>
      </c>
      <c r="F23" s="105">
        <f>IF(B23&lt;=15,'Debt &amp; Equity'!E31,0)</f>
        <v>1926.4000000000005</v>
      </c>
      <c r="G23" s="105">
        <f t="shared" si="0"/>
        <v>78768.302364926669</v>
      </c>
      <c r="H23" s="105">
        <f t="shared" si="1"/>
        <v>15753.660472985335</v>
      </c>
      <c r="I23" s="105">
        <f t="shared" si="2"/>
        <v>63014.641891941334</v>
      </c>
    </row>
    <row r="24" spans="2:9">
      <c r="B24">
        <v>7</v>
      </c>
      <c r="C24" s="105">
        <f>'Annual Cashflow'!E30</f>
        <v>85895.759430164064</v>
      </c>
      <c r="D24" s="105">
        <f>'Annual Cashflow'!F30</f>
        <v>500</v>
      </c>
      <c r="E24" s="105">
        <f>IF(B24&lt;=$C$9,Inputs!C18/$C$9,0)</f>
        <v>3440</v>
      </c>
      <c r="F24" s="105">
        <f>IF(B24&lt;=15,'Debt &amp; Equity'!E32,0)</f>
        <v>1733.7600000000004</v>
      </c>
      <c r="G24" s="105">
        <f t="shared" si="0"/>
        <v>80221.999430164069</v>
      </c>
      <c r="H24" s="105">
        <f t="shared" si="1"/>
        <v>16044.399886032814</v>
      </c>
      <c r="I24" s="105">
        <f t="shared" si="2"/>
        <v>64177.599544131255</v>
      </c>
    </row>
    <row r="25" spans="2:9">
      <c r="B25">
        <v>8</v>
      </c>
      <c r="C25" s="105">
        <f>'Annual Cashflow'!E31</f>
        <v>87175.606245673509</v>
      </c>
      <c r="D25" s="105">
        <f>'Annual Cashflow'!F31</f>
        <v>500</v>
      </c>
      <c r="E25" s="105">
        <f>IF(B25&lt;=$C$9,Inputs!C18/$C$9,0)</f>
        <v>3440</v>
      </c>
      <c r="F25" s="105">
        <f>IF(B25&lt;=15,'Debt &amp; Equity'!E33,0)</f>
        <v>1541.1200000000003</v>
      </c>
      <c r="G25" s="105">
        <f t="shared" si="0"/>
        <v>81694.486245673514</v>
      </c>
      <c r="H25" s="105">
        <f t="shared" si="1"/>
        <v>16338.897249134703</v>
      </c>
      <c r="I25" s="105">
        <f t="shared" si="2"/>
        <v>65355.588996538812</v>
      </c>
    </row>
    <row r="26" spans="2:9">
      <c r="B26">
        <v>9</v>
      </c>
      <c r="C26" s="105">
        <f>'Annual Cashflow'!E32</f>
        <v>88474.522778734041</v>
      </c>
      <c r="D26" s="105">
        <f>'Annual Cashflow'!F32</f>
        <v>500</v>
      </c>
      <c r="E26" s="105">
        <f>IF(B26&lt;=$C$9,Inputs!C18/$C$9,0)</f>
        <v>3440</v>
      </c>
      <c r="F26" s="105">
        <f>IF(B26&lt;=15,'Debt &amp; Equity'!E34,0)</f>
        <v>1348.4800000000002</v>
      </c>
      <c r="G26" s="105">
        <f t="shared" si="0"/>
        <v>83186.042778734045</v>
      </c>
      <c r="H26" s="105">
        <f t="shared" si="1"/>
        <v>16637.208555746809</v>
      </c>
      <c r="I26" s="105">
        <f t="shared" si="2"/>
        <v>66548.834222987236</v>
      </c>
    </row>
    <row r="27" spans="2:9">
      <c r="B27">
        <v>10</v>
      </c>
      <c r="C27" s="105">
        <f>'Annual Cashflow'!E33</f>
        <v>1862714.977727324</v>
      </c>
      <c r="D27" s="105">
        <f>'Annual Cashflow'!F33</f>
        <v>0</v>
      </c>
      <c r="E27" s="105">
        <f>IF(B27&lt;=$C$9,Inputs!C18/$C$9,0)</f>
        <v>3440</v>
      </c>
      <c r="F27" s="105">
        <f>IF(B27&lt;=15,'Debt &amp; Equity'!E35,0)</f>
        <v>1155.8400000000001</v>
      </c>
      <c r="G27" s="105">
        <f t="shared" si="0"/>
        <v>1858119.1377273239</v>
      </c>
      <c r="H27" s="105">
        <f t="shared" si="1"/>
        <v>371623.8275454648</v>
      </c>
      <c r="I27" s="105">
        <f t="shared" si="2"/>
        <v>1486495.3101818592</v>
      </c>
    </row>
    <row r="28" spans="2:9">
      <c r="B28">
        <v>11</v>
      </c>
      <c r="C28" s="105">
        <f>'Annual Cashflow'!E34</f>
        <v>0</v>
      </c>
      <c r="D28" s="105">
        <f>'Annual Cashflow'!F34</f>
        <v>0</v>
      </c>
      <c r="E28" s="105">
        <f>IF(B28&lt;=$C$9,Inputs!C18/$C$9,0)</f>
        <v>3440</v>
      </c>
      <c r="F28" s="105">
        <f>IF(B28&lt;=15,'Debt &amp; Equity'!E36,0)</f>
        <v>963.20000000000027</v>
      </c>
      <c r="G28" s="105">
        <f t="shared" si="0"/>
        <v>0</v>
      </c>
      <c r="H28" s="105">
        <f t="shared" si="1"/>
        <v>0</v>
      </c>
      <c r="I28" s="105">
        <f t="shared" si="2"/>
        <v>-4403.2000000000007</v>
      </c>
    </row>
    <row r="29" spans="2:9">
      <c r="B29">
        <v>12</v>
      </c>
      <c r="C29" s="105">
        <f>'Annual Cashflow'!E35</f>
        <v>0</v>
      </c>
      <c r="D29" s="105">
        <f>'Annual Cashflow'!F35</f>
        <v>0</v>
      </c>
      <c r="E29" s="105">
        <f>IF(B29&lt;=$C$9,Inputs!C18/$C$9,0)</f>
        <v>3440</v>
      </c>
      <c r="F29" s="105">
        <f>IF(B29&lt;=15,'Debt &amp; Equity'!E37,0)</f>
        <v>770.56000000000029</v>
      </c>
      <c r="G29" s="105">
        <f t="shared" si="0"/>
        <v>0</v>
      </c>
      <c r="H29" s="105">
        <f t="shared" si="1"/>
        <v>0</v>
      </c>
      <c r="I29" s="105">
        <f t="shared" si="2"/>
        <v>-4210.5600000000004</v>
      </c>
    </row>
    <row r="30" spans="2:9">
      <c r="B30">
        <v>13</v>
      </c>
      <c r="C30" s="105">
        <f>'Annual Cashflow'!E36</f>
        <v>0</v>
      </c>
      <c r="D30" s="105">
        <f>'Annual Cashflow'!F36</f>
        <v>0</v>
      </c>
      <c r="E30" s="105">
        <f>IF(B30&lt;=$C$9,Inputs!C18/$C$9,0)</f>
        <v>3440</v>
      </c>
      <c r="F30" s="105">
        <f>IF(B30&lt;=15,'Debt &amp; Equity'!E38,0)</f>
        <v>577.9200000000003</v>
      </c>
      <c r="G30" s="105">
        <f t="shared" si="0"/>
        <v>0</v>
      </c>
      <c r="H30" s="105">
        <f t="shared" si="1"/>
        <v>0</v>
      </c>
      <c r="I30" s="105">
        <f t="shared" si="2"/>
        <v>-4017.92</v>
      </c>
    </row>
    <row r="31" spans="2:9">
      <c r="B31">
        <v>14</v>
      </c>
      <c r="C31" s="105">
        <f>'Annual Cashflow'!E37</f>
        <v>0</v>
      </c>
      <c r="D31" s="105">
        <f>'Annual Cashflow'!F37</f>
        <v>0</v>
      </c>
      <c r="E31" s="105">
        <f>IF(B31&lt;=$C$9,Inputs!C18/$C$9,0)</f>
        <v>3440</v>
      </c>
      <c r="F31" s="105">
        <f>IF(B31&lt;=15,'Debt &amp; Equity'!E39,0)</f>
        <v>385.28000000000037</v>
      </c>
      <c r="G31" s="105">
        <f t="shared" si="0"/>
        <v>0</v>
      </c>
      <c r="H31" s="105">
        <f t="shared" si="1"/>
        <v>0</v>
      </c>
      <c r="I31" s="105">
        <f t="shared" si="2"/>
        <v>-3825.28</v>
      </c>
    </row>
    <row r="32" spans="2:9">
      <c r="B32">
        <v>15</v>
      </c>
      <c r="C32" s="105">
        <f>'Annual Cashflow'!E38</f>
        <v>0</v>
      </c>
      <c r="D32" s="105">
        <f>'Annual Cashflow'!F38</f>
        <v>0</v>
      </c>
      <c r="E32" s="105">
        <f>IF(B32&lt;=$C$9,Inputs!C18/$C$9,0)</f>
        <v>3440</v>
      </c>
      <c r="F32" s="105">
        <f>IF(B32&lt;=15,'Debt &amp; Equity'!E40,0)</f>
        <v>192.64000000000036</v>
      </c>
      <c r="G32" s="105">
        <f t="shared" si="0"/>
        <v>0</v>
      </c>
      <c r="H32" s="105">
        <f t="shared" si="1"/>
        <v>0</v>
      </c>
      <c r="I32" s="105">
        <f t="shared" si="2"/>
        <v>-3632.6400000000003</v>
      </c>
    </row>
    <row r="33" spans="2:9">
      <c r="B33">
        <v>16</v>
      </c>
      <c r="C33" s="105">
        <f>'Annual Cashflow'!E39</f>
        <v>0</v>
      </c>
      <c r="D33" s="105">
        <f>'Annual Cashflow'!F39</f>
        <v>0</v>
      </c>
      <c r="E33" s="105">
        <f>IF(B33&lt;=$C$9,Inputs!C18/$C$9,0)</f>
        <v>3440</v>
      </c>
      <c r="F33" s="105">
        <f>IF(B33&lt;=15,'Debt &amp; Equity'!E41,0)</f>
        <v>0</v>
      </c>
      <c r="G33" s="105">
        <f t="shared" si="0"/>
        <v>0</v>
      </c>
      <c r="H33" s="105">
        <f t="shared" si="1"/>
        <v>0</v>
      </c>
      <c r="I33" s="105">
        <f t="shared" si="2"/>
        <v>-3440</v>
      </c>
    </row>
    <row r="34" spans="2:9">
      <c r="B34">
        <v>17</v>
      </c>
      <c r="C34" s="105">
        <f>'Annual Cashflow'!E40</f>
        <v>0</v>
      </c>
      <c r="D34" s="105">
        <f>'Annual Cashflow'!F40</f>
        <v>0</v>
      </c>
      <c r="E34" s="105">
        <f>IF(B34&lt;=$C$9,Inputs!C18/$C$9,0)</f>
        <v>3440</v>
      </c>
      <c r="F34" s="105">
        <f>IF(B34&lt;=15,'Debt &amp; Equity'!E42,0)</f>
        <v>0</v>
      </c>
      <c r="G34" s="105">
        <f t="shared" si="0"/>
        <v>0</v>
      </c>
      <c r="H34" s="105">
        <f t="shared" si="1"/>
        <v>0</v>
      </c>
      <c r="I34" s="105">
        <f t="shared" si="2"/>
        <v>-3440</v>
      </c>
    </row>
    <row r="35" spans="2:9">
      <c r="B35">
        <v>18</v>
      </c>
      <c r="C35" s="105">
        <f>'Annual Cashflow'!E41</f>
        <v>0</v>
      </c>
      <c r="D35" s="105">
        <f>'Annual Cashflow'!F41</f>
        <v>0</v>
      </c>
      <c r="E35" s="105">
        <f>IF(B35&lt;=$C$9,Inputs!C18/$C$9,0)</f>
        <v>3440</v>
      </c>
      <c r="F35" s="105">
        <f>IF(B35&lt;=15,'Debt &amp; Equity'!E43,0)</f>
        <v>0</v>
      </c>
      <c r="G35" s="105">
        <f t="shared" si="0"/>
        <v>0</v>
      </c>
      <c r="H35" s="105">
        <f t="shared" si="1"/>
        <v>0</v>
      </c>
      <c r="I35" s="105">
        <f t="shared" si="2"/>
        <v>-3440</v>
      </c>
    </row>
    <row r="36" spans="2:9">
      <c r="B36">
        <v>19</v>
      </c>
      <c r="C36" s="105">
        <f>'Annual Cashflow'!E42</f>
        <v>0</v>
      </c>
      <c r="D36" s="105">
        <f>'Annual Cashflow'!F42</f>
        <v>0</v>
      </c>
      <c r="E36" s="105">
        <f>IF(B36&lt;=$C$9,Inputs!C18/$C$9,0)</f>
        <v>3440</v>
      </c>
      <c r="F36" s="105">
        <f>IF(B36&lt;=15,'Debt &amp; Equity'!E44,0)</f>
        <v>0</v>
      </c>
      <c r="G36" s="105">
        <f t="shared" si="0"/>
        <v>0</v>
      </c>
      <c r="H36" s="105">
        <f t="shared" si="1"/>
        <v>0</v>
      </c>
      <c r="I36" s="105">
        <f t="shared" si="2"/>
        <v>-3440</v>
      </c>
    </row>
    <row r="37" spans="2:9">
      <c r="B37">
        <v>20</v>
      </c>
      <c r="C37" s="105">
        <f>'Annual Cashflow'!E43</f>
        <v>0</v>
      </c>
      <c r="D37" s="105">
        <f>'Annual Cashflow'!F43</f>
        <v>0</v>
      </c>
      <c r="E37" s="105">
        <f>IF(B37&lt;=$C$9,Inputs!C18/$C$9,0)</f>
        <v>3440</v>
      </c>
      <c r="F37" s="105">
        <f>IF(B37&lt;=15,'Debt &amp; Equity'!E45,0)</f>
        <v>0</v>
      </c>
      <c r="G37" s="105">
        <f t="shared" si="0"/>
        <v>0</v>
      </c>
      <c r="H37" s="105">
        <f t="shared" si="1"/>
        <v>0</v>
      </c>
      <c r="I37" s="105">
        <f t="shared" si="2"/>
        <v>-3440</v>
      </c>
    </row>
    <row r="38" spans="2:9">
      <c r="B38">
        <v>21</v>
      </c>
      <c r="C38" s="105">
        <f>'Annual Cashflow'!E44</f>
        <v>0</v>
      </c>
      <c r="D38" s="105">
        <f>'Annual Cashflow'!F44</f>
        <v>0</v>
      </c>
      <c r="E38" s="105">
        <f>IF(B38&lt;=$C$9,Inputs!C18/$C$9,0)</f>
        <v>0</v>
      </c>
      <c r="F38" s="105">
        <f>IF(B38&lt;=15,'Debt &amp; Equity'!E46,0)</f>
        <v>0</v>
      </c>
      <c r="G38" s="105">
        <f t="shared" si="0"/>
        <v>0</v>
      </c>
      <c r="H38" s="105">
        <f t="shared" si="1"/>
        <v>0</v>
      </c>
      <c r="I38" s="105">
        <f t="shared" si="2"/>
        <v>0</v>
      </c>
    </row>
    <row r="39" spans="2:9">
      <c r="B39">
        <v>22</v>
      </c>
      <c r="C39" s="105">
        <f>'Annual Cashflow'!E45</f>
        <v>0</v>
      </c>
      <c r="D39" s="105">
        <f>'Annual Cashflow'!F45</f>
        <v>0</v>
      </c>
      <c r="E39" s="105">
        <f>IF(B39&lt;=$C$9,Inputs!C18/$C$9,0)</f>
        <v>0</v>
      </c>
      <c r="F39" s="105">
        <f>IF(B39&lt;=15,'Debt &amp; Equity'!E47,0)</f>
        <v>0</v>
      </c>
      <c r="G39" s="105">
        <f t="shared" si="0"/>
        <v>0</v>
      </c>
      <c r="H39" s="105">
        <f t="shared" si="1"/>
        <v>0</v>
      </c>
      <c r="I39" s="105">
        <f t="shared" si="2"/>
        <v>0</v>
      </c>
    </row>
    <row r="40" spans="2:9">
      <c r="B40">
        <v>23</v>
      </c>
      <c r="C40" s="105">
        <f>'Annual Cashflow'!E46</f>
        <v>0</v>
      </c>
      <c r="D40" s="105">
        <f>'Annual Cashflow'!F46</f>
        <v>0</v>
      </c>
      <c r="E40" s="105">
        <f>IF(B40&lt;=$C$9,Inputs!C18/$C$9,0)</f>
        <v>0</v>
      </c>
      <c r="F40" s="105">
        <f>IF(B40&lt;=15,'Debt &amp; Equity'!E48,0)</f>
        <v>0</v>
      </c>
      <c r="G40" s="105">
        <f t="shared" si="0"/>
        <v>0</v>
      </c>
      <c r="H40" s="105">
        <f t="shared" si="1"/>
        <v>0</v>
      </c>
      <c r="I40" s="105">
        <f t="shared" si="2"/>
        <v>0</v>
      </c>
    </row>
    <row r="41" spans="2:9">
      <c r="B41">
        <v>24</v>
      </c>
      <c r="C41" s="105">
        <f>'Annual Cashflow'!E47</f>
        <v>0</v>
      </c>
      <c r="D41" s="105">
        <f>'Annual Cashflow'!F47</f>
        <v>0</v>
      </c>
      <c r="E41" s="105">
        <f>IF(B41&lt;=$C$9,Inputs!C18/$C$9,0)</f>
        <v>0</v>
      </c>
      <c r="F41" s="105">
        <f>IF(B41&lt;=15,'Debt &amp; Equity'!E49,0)</f>
        <v>0</v>
      </c>
      <c r="G41" s="105">
        <f t="shared" si="0"/>
        <v>0</v>
      </c>
      <c r="H41" s="105">
        <f t="shared" si="1"/>
        <v>0</v>
      </c>
      <c r="I41" s="105">
        <f t="shared" si="2"/>
        <v>0</v>
      </c>
    </row>
    <row r="42" spans="2:9">
      <c r="B42">
        <v>25</v>
      </c>
      <c r="C42" s="105">
        <f>'Annual Cashflow'!E48</f>
        <v>0</v>
      </c>
      <c r="D42" s="105">
        <f>'Annual Cashflow'!F48</f>
        <v>0</v>
      </c>
      <c r="E42" s="105">
        <f>IF(B42&lt;=$C$9,Inputs!C18/$C$9,0)</f>
        <v>0</v>
      </c>
      <c r="F42" s="105">
        <f>IF(B42&lt;=15,'Debt &amp; Equity'!E50,0)</f>
        <v>0</v>
      </c>
      <c r="G42" s="105">
        <f t="shared" si="0"/>
        <v>0</v>
      </c>
      <c r="H42" s="105">
        <f t="shared" si="1"/>
        <v>0</v>
      </c>
      <c r="I42" s="105">
        <f t="shared" si="2"/>
        <v>0</v>
      </c>
    </row>
    <row r="44" spans="2:9">
      <c r="B44" s="90" t="s">
        <v>158</v>
      </c>
      <c r="C44" s="108">
        <f t="shared" ref="C44:I44" si="3">SUM(C18:C42)</f>
        <v>2613791.7807997214</v>
      </c>
      <c r="D44" s="108">
        <f t="shared" si="3"/>
        <v>4500</v>
      </c>
      <c r="E44" s="108">
        <f t="shared" si="3"/>
        <v>68800</v>
      </c>
      <c r="F44" s="108">
        <f t="shared" si="3"/>
        <v>23116.800000000003</v>
      </c>
      <c r="G44" s="108">
        <f t="shared" si="3"/>
        <v>2554664.5807997212</v>
      </c>
      <c r="H44" s="108">
        <f t="shared" si="3"/>
        <v>510932.91615994426</v>
      </c>
      <c r="I44" s="108">
        <f t="shared" si="3"/>
        <v>2006442.0646397772</v>
      </c>
    </row>
    <row r="46" spans="2:9">
      <c r="B46" s="104" t="s">
        <v>159</v>
      </c>
      <c r="C46" s="104"/>
    </row>
    <row r="47" spans="2:9">
      <c r="B47" t="s">
        <v>160</v>
      </c>
      <c r="C47" s="105">
        <f>H44</f>
        <v>510932.91615994426</v>
      </c>
    </row>
    <row r="48" spans="2:9">
      <c r="B48" t="s">
        <v>161</v>
      </c>
      <c r="C48" s="105">
        <f>E44</f>
        <v>68800</v>
      </c>
    </row>
    <row r="49" spans="2:3">
      <c r="B49" t="s">
        <v>162</v>
      </c>
      <c r="C49" s="109">
        <f>H44/G44</f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</sheetPr>
  <dimension ref="A1:D41"/>
  <sheetViews>
    <sheetView showGridLines="0" tabSelected="1" topLeftCell="A12" zoomScale="85" zoomScaleNormal="85" workbookViewId="0">
      <selection activeCell="C37" sqref="C37"/>
    </sheetView>
  </sheetViews>
  <sheetFormatPr baseColWidth="10" defaultColWidth="8.7109375" defaultRowHeight="15"/>
  <cols>
    <col min="1" max="1" width="3" customWidth="1"/>
    <col min="2" max="2" width="38" customWidth="1"/>
    <col min="3" max="3" width="29" bestFit="1" customWidth="1"/>
    <col min="4" max="4" width="3" customWidth="1"/>
  </cols>
  <sheetData>
    <row r="1" spans="1:4" ht="6" customHeight="1">
      <c r="A1" s="2"/>
      <c r="B1" s="2"/>
      <c r="C1" s="2"/>
      <c r="D1" s="2"/>
    </row>
    <row r="2" spans="1:4" ht="24" customHeight="1">
      <c r="B2" s="9" t="s">
        <v>163</v>
      </c>
    </row>
    <row r="3" spans="1:4" ht="15" customHeight="1">
      <c r="B3" s="10" t="s">
        <v>164</v>
      </c>
    </row>
    <row r="5" spans="1:4" ht="19.5" customHeight="1">
      <c r="B5" s="128" t="s">
        <v>165</v>
      </c>
      <c r="C5" s="130"/>
    </row>
    <row r="6" spans="1:4" ht="16.5" customHeight="1">
      <c r="B6" s="16" t="s">
        <v>81</v>
      </c>
      <c r="C6" s="54" t="str">
        <f>Inputs!C8&amp;" kWp"</f>
        <v>125 kWp</v>
      </c>
    </row>
    <row r="7" spans="1:4" ht="16.5" customHeight="1">
      <c r="B7" s="13" t="s">
        <v>83</v>
      </c>
      <c r="C7" s="55" t="str">
        <f>Inputs!C9&amp;" units"</f>
        <v>312 units</v>
      </c>
    </row>
    <row r="8" spans="1:4" ht="16.5" customHeight="1">
      <c r="B8" s="16" t="s">
        <v>87</v>
      </c>
      <c r="C8" s="54" t="str">
        <f>TEXT(Inputs!C11,"#,##0")&amp;" kWh"</f>
        <v>238609,0 kWh</v>
      </c>
    </row>
    <row r="9" spans="1:4" ht="16.5" customHeight="1">
      <c r="B9" s="13" t="s">
        <v>166</v>
      </c>
      <c r="C9" s="55" t="str">
        <f ca="1">TEXT(SUMPRODUCT(Inputs!C11*(1-Inputs!C14)^(ROW(INDIRECT("1:25"))-1)),"#,##0")&amp;" kWh"</f>
        <v>5620662,010 kWh</v>
      </c>
    </row>
    <row r="10" spans="1:4" ht="16.5" customHeight="1">
      <c r="B10" s="16" t="s">
        <v>167</v>
      </c>
      <c r="C10" s="56">
        <f>Inputs!C13</f>
        <v>0.218</v>
      </c>
    </row>
    <row r="11" spans="1:4" ht="16.5" customHeight="1">
      <c r="B11" s="13" t="s">
        <v>168</v>
      </c>
      <c r="C11" s="57">
        <f>Inputs!C12</f>
        <v>0.81</v>
      </c>
    </row>
    <row r="13" spans="1:4" ht="19.5" customHeight="1">
      <c r="B13" s="128" t="s">
        <v>169</v>
      </c>
      <c r="C13" s="130"/>
    </row>
    <row r="14" spans="1:4" ht="16.5" customHeight="1">
      <c r="B14" s="16" t="s">
        <v>96</v>
      </c>
      <c r="C14" s="48">
        <f>Inputs!C18</f>
        <v>68800</v>
      </c>
    </row>
    <row r="15" spans="1:4" ht="16.5" customHeight="1">
      <c r="B15" s="13" t="s">
        <v>170</v>
      </c>
      <c r="C15" s="39">
        <f>'Annual Cashflow'!E7</f>
        <v>0</v>
      </c>
    </row>
    <row r="16" spans="1:4" ht="16.5" customHeight="1">
      <c r="B16" s="13" t="s">
        <v>171</v>
      </c>
      <c r="C16" s="41">
        <f>'Annual Cashflow'!G7</f>
        <v>-68800</v>
      </c>
    </row>
    <row r="17" spans="2:3" ht="16.5" customHeight="1">
      <c r="B17" s="13" t="s">
        <v>172</v>
      </c>
      <c r="C17" s="58">
        <f>Inputs!C18/'Annual Cashflow'!G7</f>
        <v>-1</v>
      </c>
    </row>
    <row r="18" spans="2:3" ht="16.5" customHeight="1">
      <c r="B18" t="s">
        <v>173</v>
      </c>
      <c r="C18" t="str">
        <f>IFERROR(MATCH(TRUE,'Annual Cashflow'!K7:K32&gt;=0,0)-1+ABS(INDEX('Annual Cashflow'!K7:K32,MATCH(TRUE,'Annual Cashflow'!K7:K32&gt;=0,0)-1))/INDEX('Annual Cashflow'!I7:I32,MATCH(TRUE,'Annual Cashflow'!K7:K32&gt;=0,0)),"N/A")</f>
        <v>N/A</v>
      </c>
    </row>
    <row r="19" spans="2:3" ht="16.5" customHeight="1">
      <c r="B19" s="13" t="s">
        <v>174</v>
      </c>
      <c r="C19" s="41">
        <f>NPV(Inputs!C22,'Annual Cashflow'!G7:G31)-Inputs!C18</f>
        <v>798061.57767609321</v>
      </c>
    </row>
    <row r="20" spans="2:3" ht="16.5" customHeight="1">
      <c r="B20" s="13" t="s">
        <v>175</v>
      </c>
      <c r="C20" s="59">
        <f>IRR('Annual Cashflow'!J7:J32)</f>
        <v>0.90947155664678103</v>
      </c>
    </row>
    <row r="21" spans="2:3" ht="16.5" customHeight="1">
      <c r="B21" s="13" t="s">
        <v>176</v>
      </c>
      <c r="C21" s="41">
        <f>'Annual Cashflow'!H31</f>
        <v>1693440.4549485899</v>
      </c>
    </row>
    <row r="22" spans="2:3" ht="16.5" customHeight="1">
      <c r="B22" t="s">
        <v>177</v>
      </c>
      <c r="C22">
        <f>NPV(Inputs!C22,'Annual Cashflow'!G8:G32)/Inputs!C18</f>
        <v>14.607322339756477</v>
      </c>
    </row>
    <row r="23" spans="2:3" ht="16.5" customHeight="1">
      <c r="B23" s="13" t="s">
        <v>178</v>
      </c>
      <c r="C23" s="40">
        <f>'Annual Cashflow'!G32</f>
        <v>87974.522778734041</v>
      </c>
    </row>
    <row r="24" spans="2:3" ht="16.5" customHeight="1">
      <c r="B24" s="13" t="s">
        <v>179</v>
      </c>
      <c r="C24" s="60">
        <f>'Annual Cashflow'!H31/Inputs!C18</f>
        <v>24.613960100996945</v>
      </c>
    </row>
    <row r="25" spans="2:3" ht="16.5" customHeight="1">
      <c r="B25" s="13" t="s">
        <v>180</v>
      </c>
      <c r="C25" s="61">
        <f ca="1">(Inputs!C18+SUMPRODUCT(Inputs!C19/(1+Inputs!C22)^ROW(INDIRECT("1:25"))))/SUMPRODUCT(Inputs!C11*(1-Inputs!C14)^(ROW(INDIRECT("1:25"))-1)/(1+Inputs!C22)^ROW(INDIRECT("1:25")))</f>
        <v>2.364225562068319E-2</v>
      </c>
    </row>
    <row r="26" spans="2:3">
      <c r="B26" s="16" t="s">
        <v>181</v>
      </c>
      <c r="C26" s="62">
        <f>(Inputs!C20-C23)/Inputs!C20</f>
        <v>-338362.54914897709</v>
      </c>
    </row>
    <row r="27" spans="2:3" ht="19.5" customHeight="1">
      <c r="B27" s="134" t="s">
        <v>182</v>
      </c>
      <c r="C27" s="135">
        <f>1-C23/Inputs!C20</f>
        <v>-338362.54914897709</v>
      </c>
    </row>
    <row r="28" spans="2:3" ht="16.5" customHeight="1"/>
    <row r="29" spans="2:3" ht="16.5" customHeight="1">
      <c r="B29" s="1" t="s">
        <v>183</v>
      </c>
      <c r="C29" s="100"/>
    </row>
    <row r="30" spans="2:3" ht="16.5" customHeight="1">
      <c r="B30" s="16" t="s">
        <v>107</v>
      </c>
      <c r="C30" s="63" t="str">
        <f>Inputs!C26&amp;" kg CO₂/kWh"</f>
        <v>0,718 kg CO₂/kWh</v>
      </c>
    </row>
    <row r="31" spans="2:3" ht="16.5" customHeight="1">
      <c r="B31" s="13" t="s">
        <v>184</v>
      </c>
      <c r="C31" s="64">
        <f>Inputs!C11*Inputs!C29*Inputs!C26/1000</f>
        <v>68.528504799999993</v>
      </c>
    </row>
    <row r="32" spans="2:3" ht="16.5" customHeight="1">
      <c r="B32" s="16" t="s">
        <v>185</v>
      </c>
      <c r="C32" s="65">
        <f>Inputs!C11*Inputs!C28/(3.08)*Inputs!C27/1000</f>
        <v>124.57249090909092</v>
      </c>
    </row>
    <row r="33" spans="1:4" ht="16.5" customHeight="1">
      <c r="B33" s="13" t="s">
        <v>186</v>
      </c>
      <c r="C33" s="66">
        <f>C31+C32</f>
        <v>193.10099570909091</v>
      </c>
    </row>
    <row r="34" spans="1:4">
      <c r="B34" t="s">
        <v>187</v>
      </c>
      <c r="C34" s="65" t="str">
        <f>ROUND(C31/0.021,0)&amp;" trees"</f>
        <v>3263 trees</v>
      </c>
    </row>
    <row r="35" spans="1:4">
      <c r="B35" t="s">
        <v>188</v>
      </c>
      <c r="C35" s="65" t="str">
        <f>C32/Inputs!C18&amp;" tonnes/€"</f>
        <v>0,00181064667019027 tonnes/€</v>
      </c>
    </row>
    <row r="36" spans="1:4">
      <c r="B36" s="13" t="s">
        <v>189</v>
      </c>
      <c r="C36" s="66" cm="1">
        <f t="array" aca="1" ref="C36" ca="1">SUMPRODUCT((C31+C32)*(1-Inputs!C14)^(ROW(INDIRECT("1:25"))-1))</f>
        <v>4548.6776721922561</v>
      </c>
    </row>
    <row r="37" spans="1:4">
      <c r="B37" s="13" t="s">
        <v>190</v>
      </c>
      <c r="C37" s="55" t="str">
        <f>ROUND(C31/2.01,0)&amp;" cars"</f>
        <v>34 cars</v>
      </c>
    </row>
    <row r="41" spans="1:4">
      <c r="A41" s="2"/>
      <c r="B41" s="2"/>
      <c r="C41" s="2"/>
      <c r="D41" s="2"/>
    </row>
  </sheetData>
  <mergeCells count="3">
    <mergeCell ref="B13:C13"/>
    <mergeCell ref="B5:C5"/>
    <mergeCell ref="B27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</sheetPr>
  <dimension ref="A1:G37"/>
  <sheetViews>
    <sheetView showGridLines="0" zoomScale="85" zoomScaleNormal="85" workbookViewId="0">
      <selection activeCell="H15" sqref="H15"/>
    </sheetView>
  </sheetViews>
  <sheetFormatPr baseColWidth="10" defaultColWidth="8.7109375" defaultRowHeight="15"/>
  <cols>
    <col min="1" max="1" width="3" customWidth="1"/>
    <col min="2" max="2" width="30" customWidth="1"/>
    <col min="3" max="3" width="16" customWidth="1"/>
    <col min="4" max="4" width="12" customWidth="1"/>
    <col min="5" max="5" width="14" customWidth="1"/>
    <col min="6" max="6" width="12" customWidth="1"/>
    <col min="7" max="7" width="3" customWidth="1"/>
  </cols>
  <sheetData>
    <row r="1" spans="1:7" ht="6" customHeight="1">
      <c r="A1" s="2"/>
      <c r="B1" s="2"/>
      <c r="C1" s="2"/>
      <c r="D1" s="2"/>
      <c r="E1" s="2"/>
      <c r="F1" s="2"/>
      <c r="G1" s="2"/>
    </row>
    <row r="2" spans="1:7" ht="24" customHeight="1">
      <c r="B2" s="9" t="s">
        <v>191</v>
      </c>
    </row>
    <row r="3" spans="1:7" ht="15" customHeight="1">
      <c r="B3" s="10" t="s">
        <v>192</v>
      </c>
    </row>
    <row r="4" spans="1:7" ht="13.5" customHeight="1">
      <c r="B4" s="33" t="s">
        <v>193</v>
      </c>
    </row>
    <row r="6" spans="1:7" ht="19.5" customHeight="1">
      <c r="B6" s="1" t="s">
        <v>194</v>
      </c>
      <c r="C6" s="67" t="s">
        <v>195</v>
      </c>
      <c r="D6" s="67" t="s">
        <v>196</v>
      </c>
      <c r="E6" s="67" t="s">
        <v>197</v>
      </c>
      <c r="F6" t="s">
        <v>198</v>
      </c>
    </row>
    <row r="7" spans="1:7" ht="13.5" customHeight="1">
      <c r="B7" s="68" t="s">
        <v>199</v>
      </c>
    </row>
    <row r="8" spans="1:7" ht="16.5" customHeight="1">
      <c r="B8" s="13" t="s">
        <v>200</v>
      </c>
      <c r="C8" s="69">
        <f>Inputs!C18/(Inputs!C11*Inputs!C20*0.8-Inputs!C19)</f>
        <v>1.4003472209783736</v>
      </c>
      <c r="D8" s="39">
        <f ca="1">SUMPRODUCT((Inputs!C11*(1-Inputs!C14)^(ROW(INDIRECT("1:25"))-1)*Inputs!C20*0.8*(1+Inputs!C21)^(ROW(INDIRECT("1:25"))-1)-Inputs!C19)/(1+Inputs!C22)^ROW(INDIRECT("1:25")))-Inputs!C18</f>
        <v>733777.6271235923</v>
      </c>
      <c r="E8" s="70">
        <f ca="1">SUMPRODUCT((Inputs!C11*(1-Inputs!C14)^(ROW(INDIRECT("1:25"))-1)*Inputs!C20*0.8*(1+Inputs!C21)^(ROW(INDIRECT("1:25"))-1)-Inputs!C19))/Inputs!C18</f>
        <v>21.477790438689816</v>
      </c>
    </row>
    <row r="9" spans="1:7" ht="16.5" customHeight="1">
      <c r="B9" s="16" t="s">
        <v>201</v>
      </c>
      <c r="C9" s="71">
        <f>Inputs!C18/(Inputs!C11*Inputs!C20*0.9-Inputs!C19)</f>
        <v>1.2433471440045023</v>
      </c>
      <c r="D9" s="47">
        <f ca="1">SUMPRODUCT((Inputs!C11*(1-Inputs!C14)^(ROW(INDIRECT("1:25"))-1)*Inputs!C20*0.9*(1+Inputs!C21)^(ROW(INDIRECT("1:25"))-1)-Inputs!C19)/(1+Inputs!C22)^ROW(INDIRECT("1:25")))-Inputs!C18</f>
        <v>834980.70204941905</v>
      </c>
      <c r="E9" s="72">
        <f ca="1">SUMPRODUCT((Inputs!C11*(1-Inputs!C14)^(ROW(INDIRECT("1:25"))-1)*Inputs!C20*0.9*(1+Inputs!C21)^(ROW(INDIRECT("1:25"))-1)-Inputs!C19))/Inputs!C18</f>
        <v>24.185224999339994</v>
      </c>
    </row>
    <row r="10" spans="1:7" ht="16.5" customHeight="1">
      <c r="B10" s="73" t="s">
        <v>202</v>
      </c>
      <c r="C10" s="74">
        <f>Inputs!C18/(Inputs!C11*Inputs!C20-Inputs!C19)</f>
        <v>1.1180022080543608</v>
      </c>
      <c r="D10" s="75">
        <f ca="1">SUMPRODUCT((Inputs!C11*(1-Inputs!C14)^(ROW(INDIRECT("1:25"))-1)*Inputs!C20*(1+Inputs!C21)^(ROW(INDIRECT("1:25"))-1)-Inputs!C19)/(1+Inputs!C22)^ROW(INDIRECT("1:25")))-Inputs!C18</f>
        <v>936183.77697524591</v>
      </c>
      <c r="E10" s="76">
        <f ca="1">SUMPRODUCT((Inputs!C11*(1-Inputs!C14)^(ROW(INDIRECT("1:25"))-1)*Inputs!C20*(1+Inputs!C21)^(ROW(INDIRECT("1:25"))-1)-Inputs!C19))/Inputs!C18</f>
        <v>26.892659559990172</v>
      </c>
    </row>
    <row r="11" spans="1:7" ht="16.5" customHeight="1">
      <c r="B11" s="16" t="s">
        <v>203</v>
      </c>
      <c r="C11" s="71">
        <f>Inputs!C18/(Inputs!C11*Inputs!C20*1.1-Inputs!C19)</f>
        <v>1.0156154716853343</v>
      </c>
      <c r="D11" s="47">
        <f ca="1">SUMPRODUCT((Inputs!C11*(1-Inputs!C14)^(ROW(INDIRECT("1:25"))-1)*Inputs!C20*1.1*(1+Inputs!C21)^(ROW(INDIRECT("1:25"))-1)-Inputs!C19)/(1+Inputs!C22)^ROW(INDIRECT("1:25")))-Inputs!C18</f>
        <v>1037386.8519010728</v>
      </c>
      <c r="E11" s="72">
        <f ca="1">SUMPRODUCT((Inputs!C11*(1-Inputs!C14)^(ROW(INDIRECT("1:25"))-1)*Inputs!C20*1.1*(1+Inputs!C21)^(ROW(INDIRECT("1:25"))-1)-Inputs!C19))/Inputs!C18</f>
        <v>29.600094120640357</v>
      </c>
    </row>
    <row r="12" spans="1:7" ht="16.5" customHeight="1">
      <c r="B12" s="13" t="s">
        <v>204</v>
      </c>
      <c r="C12" s="69">
        <f>Inputs!C18/(Inputs!C11*Inputs!C20*1.2-Inputs!C19)</f>
        <v>0.93040857594368043</v>
      </c>
      <c r="D12" s="39">
        <f t="array" aca="1" ref="D12" ca="1">SUMPRODUCT((Inputs!C11*(1-Inputs!C14)^(ROW(INDIRECT("1:25"))-1)*Inputs!C20*1.2*(1+Inputs!C21)^(ROW(INDIRECT("1:25"))-1)-Inputs!C19)/(1+Inputs!C22)^ROW(INDIRECT("1:25")))-Inputs!C18</f>
        <v>1138589.9268268996</v>
      </c>
      <c r="E12" s="70">
        <f ca="1">SUMPRODUCT((Inputs!C11*(1-Inputs!C14)^(ROW(INDIRECT("1:25"))-1)*Inputs!C20*1.2*(1+Inputs!C21)^(ROW(INDIRECT("1:25"))-1)-Inputs!C19))/Inputs!C18</f>
        <v>32.307528681290528</v>
      </c>
    </row>
    <row r="15" spans="1:7" ht="13.5" customHeight="1">
      <c r="B15" s="68" t="s">
        <v>205</v>
      </c>
    </row>
    <row r="16" spans="1:7" ht="16.5" customHeight="1">
      <c r="B16" s="13" t="s">
        <v>206</v>
      </c>
      <c r="C16" s="69">
        <f>Inputs!C18*1.3/(Inputs!C11*Inputs!C20-Inputs!C19)</f>
        <v>1.4534028704706692</v>
      </c>
      <c r="D16" s="39">
        <f ca="1">SUMPRODUCT((Inputs!C11*(1-Inputs!C14)^(ROW(INDIRECT("1:25"))-1)*Inputs!C20*(1+Inputs!C21)^(ROW(INDIRECT("1:25"))-1)-Inputs!C19)/(1+Inputs!C22)^ROW(INDIRECT("1:25")))-Inputs!C18*1.3</f>
        <v>915543.77697524591</v>
      </c>
      <c r="E16" s="70">
        <f ca="1">SUMPRODUCT((Inputs!C11*(1-Inputs!C14)^(ROW(INDIRECT("1:25"))-1)*Inputs!C20*(1+Inputs!C21)^(ROW(INDIRECT("1:25"))-1)-Inputs!C19))/(Inputs!C18*1.3)</f>
        <v>20.686661199992439</v>
      </c>
    </row>
    <row r="17" spans="2:6" ht="16.5" customHeight="1">
      <c r="B17" s="16" t="s">
        <v>207</v>
      </c>
      <c r="C17" s="71">
        <f>Inputs!C18*1.2/(Inputs!C11*Inputs!C20-Inputs!C19)</f>
        <v>1.3416026496652329</v>
      </c>
      <c r="D17" s="47">
        <f ca="1">SUMPRODUCT((Inputs!C11*(1-Inputs!C14)^(ROW(INDIRECT("1:25"))-1)*Inputs!C20*(1+Inputs!C21)^(ROW(INDIRECT("1:25"))-1)-Inputs!C19)/(1+Inputs!C22)^ROW(INDIRECT("1:25")))-Inputs!C18*1.2</f>
        <v>922423.77697524591</v>
      </c>
      <c r="E17" s="72">
        <f ca="1">SUMPRODUCT((Inputs!C11*(1-Inputs!C14)^(ROW(INDIRECT("1:25"))-1)*Inputs!C20*(1+Inputs!C21)^(ROW(INDIRECT("1:25"))-1)-Inputs!C19))/(Inputs!C18*1.2)</f>
        <v>22.410549633325143</v>
      </c>
    </row>
    <row r="18" spans="2:6" ht="16.5" customHeight="1">
      <c r="B18" s="13" t="s">
        <v>208</v>
      </c>
      <c r="C18" s="69">
        <f>Inputs!C18*1.1/(Inputs!C11*Inputs!C20-Inputs!C19)</f>
        <v>1.2298024288597968</v>
      </c>
      <c r="D18" s="39">
        <f ca="1">SUMPRODUCT((Inputs!C11*(1-Inputs!C14)^(ROW(INDIRECT("1:25"))-1)*Inputs!C20*(1+Inputs!C21)^(ROW(INDIRECT("1:25"))-1)-Inputs!C19)/(1+Inputs!C22)^ROW(INDIRECT("1:25")))-Inputs!C18*1.1</f>
        <v>929303.77697524591</v>
      </c>
      <c r="E18" s="70">
        <f ca="1">SUMPRODUCT((Inputs!C11*(1-Inputs!C14)^(ROW(INDIRECT("1:25"))-1)*Inputs!C20*(1+Inputs!C21)^(ROW(INDIRECT("1:25"))-1)-Inputs!C19))/(Inputs!C18*1.1)</f>
        <v>24.447872327263791</v>
      </c>
    </row>
    <row r="19" spans="2:6" ht="16.5" customHeight="1">
      <c r="B19" s="73" t="s">
        <v>209</v>
      </c>
      <c r="C19" s="74">
        <f>Inputs!C18/(Inputs!C11*Inputs!C20-Inputs!C19)</f>
        <v>1.1180022080543608</v>
      </c>
      <c r="D19" s="75">
        <f ca="1">SUMPRODUCT((Inputs!C11*(1-Inputs!C14)^(ROW(INDIRECT("1:25"))-1)*Inputs!C20*(1+Inputs!C21)^(ROW(INDIRECT("1:25"))-1)-Inputs!C19)/(1+Inputs!C22)^ROW(INDIRECT("1:25")))-Inputs!C18</f>
        <v>936183.77697524591</v>
      </c>
      <c r="E19" s="76">
        <f ca="1">SUMPRODUCT((Inputs!C11*(1-Inputs!C14)^(ROW(INDIRECT("1:25"))-1)*Inputs!C20*(1+Inputs!C21)^(ROW(INDIRECT("1:25"))-1)-Inputs!C19))/(Inputs!C18*1)</f>
        <v>26.892659559990172</v>
      </c>
    </row>
    <row r="20" spans="2:6" ht="16.5" customHeight="1">
      <c r="B20" s="13" t="s">
        <v>210</v>
      </c>
      <c r="C20" s="69">
        <f>Inputs!C18*0.9/(Inputs!C11*Inputs!C20-Inputs!C19)</f>
        <v>1.0062019872489247</v>
      </c>
      <c r="D20" s="39">
        <f ca="1">SUMPRODUCT((Inputs!C11*(1-Inputs!C14)^(ROW(INDIRECT("1:25"))-1)*Inputs!C20*(1+Inputs!C21)^(ROW(INDIRECT("1:25"))-1)-Inputs!C19)/(1+Inputs!C22)^ROW(INDIRECT("1:25")))-Inputs!C18*0.9</f>
        <v>943063.77697524591</v>
      </c>
      <c r="E20" s="70">
        <f ca="1">SUMPRODUCT((Inputs!C11*(1-Inputs!C14)^(ROW(INDIRECT("1:25"))-1)*Inputs!C20*(1+Inputs!C21)^(ROW(INDIRECT("1:25"))-1)-Inputs!C19))/(Inputs!C18*0.9)</f>
        <v>29.880732844433524</v>
      </c>
    </row>
    <row r="21" spans="2:6" ht="16.5" customHeight="1">
      <c r="B21" s="16" t="s">
        <v>211</v>
      </c>
      <c r="C21" s="71">
        <f>Inputs!C18*0.8/(Inputs!C11*Inputs!C20-Inputs!C19)</f>
        <v>0.89440176644348868</v>
      </c>
      <c r="D21" s="47">
        <f ca="1">SUMPRODUCT((Inputs!C11*(1-Inputs!C14)^(ROW(INDIRECT("1:25"))-1)*Inputs!C20*(1+Inputs!C21)^(ROW(INDIRECT("1:25"))-1)-Inputs!C19)/(1+Inputs!C22)^ROW(INDIRECT("1:25")))-Inputs!C18*0.8</f>
        <v>949943.77697524591</v>
      </c>
      <c r="E21" s="72">
        <f ca="1">SUMPRODUCT((Inputs!C11*(1-Inputs!C14)^(ROW(INDIRECT("1:25"))-1)*Inputs!C20*(1+Inputs!C21)^(ROW(INDIRECT("1:25"))-1)-Inputs!C19))/(Inputs!C18*0.8)</f>
        <v>33.615824449987713</v>
      </c>
    </row>
    <row r="24" spans="2:6" ht="13.5" customHeight="1">
      <c r="B24" s="68" t="s">
        <v>212</v>
      </c>
    </row>
    <row r="25" spans="2:6" ht="16.5" customHeight="1">
      <c r="B25" s="16" t="s">
        <v>213</v>
      </c>
      <c r="C25" s="71">
        <f>Inputs!C18/(Inputs!C11*0.85*Inputs!C20-Inputs!C19)</f>
        <v>1.3171853304074206</v>
      </c>
      <c r="D25" s="47">
        <f ca="1">SUMPRODUCT((Inputs!C11*0.85*(1-Inputs!C14)^(ROW(INDIRECT("1:25"))-1)*Inputs!C20*(1+Inputs!C21)^(ROW(INDIRECT("1:25"))-1)-Inputs!C19)/(1+Inputs!C22)^ROW(INDIRECT("1:25")))-Inputs!C18</f>
        <v>784379.16458650562</v>
      </c>
      <c r="E25" s="72">
        <f ca="1">SUMPRODUCT((Inputs!C11*0.85*(1-Inputs!C14)^(ROW(INDIRECT("1:25"))-1)*Inputs!C20*(1+Inputs!C21)^(ROW(INDIRECT("1:25"))-1)-Inputs!C19))/Inputs!C18</f>
        <v>22.831507719014905</v>
      </c>
    </row>
    <row r="26" spans="2:6" ht="16.5" customHeight="1">
      <c r="B26" s="13" t="s">
        <v>214</v>
      </c>
      <c r="C26" s="69">
        <f>Inputs!C18/(Inputs!C11*0.9*Inputs!C20-Inputs!C19)</f>
        <v>1.2433471440045023</v>
      </c>
      <c r="D26" s="39">
        <f ca="1">SUMPRODUCT((Inputs!C11*0.9*(1-Inputs!C14)^(ROW(INDIRECT("1:25"))-1)*Inputs!C20*(1+Inputs!C21)^(ROW(INDIRECT("1:25"))-1)-Inputs!C19)/(1+Inputs!C22)^ROW(INDIRECT("1:25")))-Inputs!C18</f>
        <v>834980.70204941905</v>
      </c>
      <c r="E26" s="70">
        <f ca="1">SUMPRODUCT((Inputs!C11*0.9*(1-Inputs!C14)^(ROW(INDIRECT("1:25"))-1)*Inputs!C20*(1+Inputs!C21)^(ROW(INDIRECT("1:25"))-1)-Inputs!C19))/Inputs!C18</f>
        <v>24.185224999339994</v>
      </c>
    </row>
    <row r="27" spans="2:6" ht="16.5" customHeight="1">
      <c r="B27" s="73" t="s">
        <v>215</v>
      </c>
      <c r="C27" s="74">
        <f>Inputs!C18/(Inputs!C11*Inputs!C20-Inputs!C19)</f>
        <v>1.1180022080543608</v>
      </c>
      <c r="D27" s="75">
        <f ca="1">SUMPRODUCT((Inputs!C11*(1-Inputs!C14)^(ROW(INDIRECT("1:25"))-1)*Inputs!C20*(1+Inputs!C21)^(ROW(INDIRECT("1:25"))-1)-Inputs!C19)/(1+Inputs!C22)^ROW(INDIRECT("1:25")))-Inputs!C18</f>
        <v>936183.77697524591</v>
      </c>
      <c r="E27" s="76">
        <f ca="1">SUMPRODUCT((Inputs!C11*(1-Inputs!C14)^(ROW(INDIRECT("1:25"))-1)*Inputs!C20*(1+Inputs!C21)^(ROW(INDIRECT("1:25"))-1)-Inputs!C19))/Inputs!C18</f>
        <v>26.892659559990172</v>
      </c>
    </row>
    <row r="28" spans="2:6" ht="16.5" customHeight="1">
      <c r="B28" s="13" t="s">
        <v>216</v>
      </c>
      <c r="C28" s="69">
        <f>Inputs!C18/(Inputs!C11*1.05*Inputs!C20-Inputs!C19)</f>
        <v>1.0643522039214663</v>
      </c>
      <c r="D28" s="39">
        <f ca="1">SUMPRODUCT((Inputs!C11*1.05*(1-Inputs!C14)^(ROW(INDIRECT("1:25"))-1)*Inputs!C20*(1+Inputs!C21)^(ROW(INDIRECT("1:25"))-1)-Inputs!C19)/(1+Inputs!C22)^ROW(INDIRECT("1:25")))-Inputs!C18</f>
        <v>986785.31443815934</v>
      </c>
      <c r="E28" s="70">
        <f ca="1">SUMPRODUCT((Inputs!C11*1.05*(1-Inputs!C14)^(ROW(INDIRECT("1:25"))-1)*Inputs!C20*(1+Inputs!C21)^(ROW(INDIRECT("1:25"))-1)-Inputs!C19))/Inputs!C18</f>
        <v>28.246376840315264</v>
      </c>
    </row>
    <row r="31" spans="2:6" ht="13.5" customHeight="1">
      <c r="B31" s="68" t="s">
        <v>217</v>
      </c>
    </row>
    <row r="32" spans="2:6" ht="16.5" customHeight="1">
      <c r="B32" s="13" t="s">
        <v>218</v>
      </c>
      <c r="C32" s="69">
        <f>Inputs!C18/(Inputs!C11*Inputs!C20-Inputs!C19)</f>
        <v>1.1180022080543608</v>
      </c>
      <c r="D32" s="39">
        <f ca="1">SUMPRODUCT((Inputs!C11*(1-Inputs!C14)^(ROW(INDIRECT("1:25"))-1)*Inputs!C20*(1+Inputs!C21)^(ROW(INDIRECT("1:25"))-1)-Inputs!C19)/(1+0.03)^ROW(INDIRECT("1:25")))-Inputs!C18</f>
        <v>1190890.9031965747</v>
      </c>
      <c r="E32" s="70">
        <f ca="1">SUMPRODUCT((Inputs!C11*(1-Inputs!C14)^(ROW(INDIRECT("1:25"))-1)*Inputs!C20*(1+Inputs!C21)^(ROW(INDIRECT("1:25"))-1)-Inputs!C19))/Inputs!C18</f>
        <v>26.892659559990172</v>
      </c>
      <c r="F32">
        <f>IRR('Annual Cashflow'!J7:J32)</f>
        <v>0.90947155664678103</v>
      </c>
    </row>
    <row r="33" spans="2:6" ht="16.5" customHeight="1">
      <c r="B33" s="73" t="s">
        <v>219</v>
      </c>
      <c r="C33" s="74">
        <f>Inputs!C18/(Inputs!C11*Inputs!C20-Inputs!C19)</f>
        <v>1.1180022080543608</v>
      </c>
      <c r="D33" s="75">
        <f ca="1">SUMPRODUCT((Inputs!C11*(1-Inputs!C14)^(ROW(INDIRECT("1:25"))-1)*Inputs!C20*(1+Inputs!C21)^(ROW(INDIRECT("1:25"))-1)-Inputs!C19)/(1+Inputs!C22)^ROW(INDIRECT("1:25")))-Inputs!C18</f>
        <v>936183.77697524591</v>
      </c>
      <c r="E33" s="76">
        <f ca="1">SUMPRODUCT((Inputs!C11*(1-Inputs!C14)^(ROW(INDIRECT("1:25"))-1)*Inputs!C20*(1+Inputs!C21)^(ROW(INDIRECT("1:25"))-1)-Inputs!C19))/Inputs!C18</f>
        <v>26.892659559990172</v>
      </c>
      <c r="F33">
        <f>IRR('Annual Cashflow'!J7:J32)</f>
        <v>0.90947155664678103</v>
      </c>
    </row>
    <row r="34" spans="2:6" ht="16.5" customHeight="1">
      <c r="B34" s="13" t="s">
        <v>220</v>
      </c>
      <c r="C34" s="69">
        <f>Inputs!C18/(Inputs!C11*Inputs!C20-Inputs!C19)</f>
        <v>1.1180022080543608</v>
      </c>
      <c r="D34" s="39">
        <f ca="1">SUMPRODUCT((Inputs!C11*(1-Inputs!C14)^(ROW(INDIRECT("1:25"))-1)*Inputs!C20*(1+Inputs!C21)^(ROW(INDIRECT("1:25"))-1)-Inputs!C19)/(1+0.08)^ROW(INDIRECT("1:25")))-Inputs!C18</f>
        <v>677429.19355409278</v>
      </c>
      <c r="E34" s="70">
        <f ca="1">SUMPRODUCT((Inputs!C11*(1-Inputs!C14)^(ROW(INDIRECT("1:25"))-1)*Inputs!C20*(1+Inputs!C21)^(ROW(INDIRECT("1:25"))-1)-Inputs!C19))/Inputs!C18</f>
        <v>26.892659559990172</v>
      </c>
      <c r="F34">
        <f>IRR('Annual Cashflow'!J7:J32)</f>
        <v>0.90947155664678103</v>
      </c>
    </row>
    <row r="35" spans="2:6" ht="16.5" customHeight="1">
      <c r="B35" s="16" t="s">
        <v>221</v>
      </c>
      <c r="C35" s="71">
        <f>Inputs!C18/(Inputs!C11*Inputs!C20-Inputs!C19)</f>
        <v>1.1180022080543608</v>
      </c>
      <c r="D35" s="47">
        <f ca="1">SUMPRODUCT((Inputs!C11*(1-Inputs!C14)^(ROW(INDIRECT("1:25"))-1)*Inputs!C20*(1+Inputs!C21)^(ROW(INDIRECT("1:25"))-1)-Inputs!C19)/(1+0.1)^ROW(INDIRECT("1:25")))-Inputs!C18</f>
        <v>558281.03963177919</v>
      </c>
      <c r="E35" s="72">
        <f ca="1">SUMPRODUCT((Inputs!C11*(1-Inputs!C14)^(ROW(INDIRECT("1:25"))-1)*Inputs!C20*(1+Inputs!C21)^(ROW(INDIRECT("1:25"))-1)-Inputs!C19))/Inputs!C18</f>
        <v>26.892659559990172</v>
      </c>
      <c r="F35">
        <f>IRR('Annual Cashflow'!J7:J32)</f>
        <v>0.90947155664678103</v>
      </c>
    </row>
    <row r="37" spans="2:6" ht="13.5" customHeight="1">
      <c r="B37" s="33" t="s">
        <v>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D23"/>
  <sheetViews>
    <sheetView showGridLines="0" zoomScaleNormal="100" workbookViewId="0">
      <selection activeCell="F4" sqref="F4"/>
    </sheetView>
  </sheetViews>
  <sheetFormatPr baseColWidth="10" defaultColWidth="8.7109375" defaultRowHeight="15"/>
  <cols>
    <col min="1" max="1" width="3" customWidth="1"/>
    <col min="2" max="2" width="23.28515625" customWidth="1"/>
    <col min="3" max="3" width="20" customWidth="1"/>
    <col min="4" max="4" width="3" customWidth="1"/>
  </cols>
  <sheetData>
    <row r="1" spans="1:4" ht="6" customHeight="1">
      <c r="A1" s="2"/>
      <c r="B1" s="2"/>
      <c r="C1" s="2"/>
      <c r="D1" s="2"/>
    </row>
    <row r="2" spans="1:4" ht="24" customHeight="1">
      <c r="B2" s="9" t="s">
        <v>223</v>
      </c>
    </row>
    <row r="3" spans="1:4" ht="15" customHeight="1">
      <c r="B3" s="10" t="s">
        <v>224</v>
      </c>
    </row>
    <row r="4" spans="1:4" ht="88.5" customHeight="1">
      <c r="B4" s="77" t="s">
        <v>225</v>
      </c>
    </row>
    <row r="6" spans="1:4" ht="19.5" customHeight="1">
      <c r="B6" s="1" t="s">
        <v>226</v>
      </c>
      <c r="C6" s="67" t="s">
        <v>227</v>
      </c>
    </row>
    <row r="7" spans="1:4" ht="16.5" customHeight="1">
      <c r="B7" s="13" t="s">
        <v>228</v>
      </c>
      <c r="C7" s="78">
        <v>19197.8</v>
      </c>
    </row>
    <row r="8" spans="1:4" ht="16.5" customHeight="1">
      <c r="B8" s="16" t="s">
        <v>229</v>
      </c>
      <c r="C8" s="79">
        <v>18793.5</v>
      </c>
    </row>
    <row r="9" spans="1:4" ht="16.5" customHeight="1">
      <c r="B9" s="80" t="s">
        <v>230</v>
      </c>
      <c r="C9" s="81">
        <v>22202.9</v>
      </c>
    </row>
    <row r="10" spans="1:4" ht="16.5" customHeight="1">
      <c r="B10" s="80" t="s">
        <v>231</v>
      </c>
      <c r="C10" s="81">
        <v>22242.7</v>
      </c>
    </row>
    <row r="11" spans="1:4" ht="16.5" customHeight="1">
      <c r="B11" s="13" t="s">
        <v>232</v>
      </c>
      <c r="C11" s="78">
        <v>21682.7</v>
      </c>
    </row>
    <row r="12" spans="1:4" ht="16.5" customHeight="1">
      <c r="B12" s="16" t="s">
        <v>233</v>
      </c>
      <c r="C12" s="79">
        <v>18695.599999999999</v>
      </c>
    </row>
    <row r="13" spans="1:4" ht="16.5" customHeight="1">
      <c r="B13" s="13" t="s">
        <v>234</v>
      </c>
      <c r="C13" s="78">
        <v>19350.7</v>
      </c>
    </row>
    <row r="14" spans="1:4" ht="16.5" customHeight="1">
      <c r="B14" s="16" t="s">
        <v>235</v>
      </c>
      <c r="C14" s="79">
        <v>19028.2</v>
      </c>
    </row>
    <row r="15" spans="1:4" ht="16.5" customHeight="1">
      <c r="B15" s="13" t="s">
        <v>236</v>
      </c>
      <c r="C15" s="78">
        <v>19367.5</v>
      </c>
    </row>
    <row r="16" spans="1:4" ht="16.5" customHeight="1">
      <c r="B16" s="16" t="s">
        <v>237</v>
      </c>
      <c r="C16" s="79">
        <v>20845</v>
      </c>
    </row>
    <row r="17" spans="2:3" ht="16.5" customHeight="1">
      <c r="B17" s="13" t="s">
        <v>238</v>
      </c>
      <c r="C17" s="78">
        <v>18598.5</v>
      </c>
    </row>
    <row r="18" spans="2:3" ht="16.5" customHeight="1">
      <c r="B18" s="16" t="s">
        <v>239</v>
      </c>
      <c r="C18" s="79">
        <v>19101.099999999999</v>
      </c>
    </row>
    <row r="19" spans="2:3" ht="19.5" customHeight="1">
      <c r="B19" s="1" t="s">
        <v>240</v>
      </c>
      <c r="C19" s="82">
        <f>SUM(C7:C18)</f>
        <v>239106.20000000004</v>
      </c>
    </row>
    <row r="21" spans="2:3" ht="16.5" customHeight="1">
      <c r="B21" s="83" t="s">
        <v>241</v>
      </c>
      <c r="C21" s="84">
        <f>Inputs!C11</f>
        <v>238609</v>
      </c>
    </row>
    <row r="23" spans="2:3" ht="15" customHeight="1">
      <c r="B23" s="33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26"/>
  <sheetViews>
    <sheetView workbookViewId="0">
      <selection activeCell="D23" sqref="D23"/>
    </sheetView>
  </sheetViews>
  <sheetFormatPr baseColWidth="10" defaultColWidth="9.140625" defaultRowHeight="15"/>
  <cols>
    <col min="2" max="2" width="52.140625" bestFit="1" customWidth="1"/>
    <col min="3" max="3" width="18" customWidth="1"/>
    <col min="4" max="4" width="45" customWidth="1"/>
    <col min="5" max="5" width="16.7109375" customWidth="1"/>
    <col min="6" max="6" width="12.85546875" customWidth="1"/>
    <col min="7" max="8" width="17.28515625" customWidth="1"/>
    <col min="9" max="9" width="48" bestFit="1" customWidth="1"/>
    <col min="10" max="10" width="16.28515625" customWidth="1"/>
  </cols>
  <sheetData>
    <row r="2" spans="2:10" ht="18.75">
      <c r="B2" s="101" t="s">
        <v>243</v>
      </c>
    </row>
    <row r="3" spans="2:10">
      <c r="B3" s="102" t="s">
        <v>1</v>
      </c>
    </row>
    <row r="5" spans="2:10">
      <c r="B5" s="87" t="s">
        <v>244</v>
      </c>
    </row>
    <row r="6" spans="2:10" ht="18.75" customHeight="1"/>
    <row r="7" spans="2:10" ht="15.75" customHeight="1">
      <c r="B7" s="110" t="s">
        <v>245</v>
      </c>
      <c r="C7" s="110" t="s">
        <v>246</v>
      </c>
      <c r="D7" s="110" t="s">
        <v>247</v>
      </c>
      <c r="E7" s="110" t="s">
        <v>248</v>
      </c>
      <c r="F7" s="110" t="s">
        <v>249</v>
      </c>
      <c r="G7" s="110" t="s">
        <v>250</v>
      </c>
      <c r="H7" s="110" t="s">
        <v>251</v>
      </c>
      <c r="I7" s="110" t="s">
        <v>252</v>
      </c>
      <c r="J7" s="110" t="s">
        <v>253</v>
      </c>
    </row>
    <row r="8" spans="2:10">
      <c r="B8" t="s">
        <v>254</v>
      </c>
      <c r="C8" t="s">
        <v>255</v>
      </c>
      <c r="D8" t="s">
        <v>256</v>
      </c>
      <c r="E8" s="91">
        <v>3</v>
      </c>
      <c r="F8" s="91">
        <v>4</v>
      </c>
      <c r="G8" s="90">
        <f>E8*F8</f>
        <v>12</v>
      </c>
      <c r="H8" s="111" t="str">
        <f t="shared" ref="H8:H17" si="0">IF(F8&lt;=4,"Low",IF(F8&lt;=9,"Medium",IF(F8&lt;=14,"High","Critical")))</f>
        <v>Low</v>
      </c>
      <c r="I8" t="s">
        <v>257</v>
      </c>
      <c r="J8" t="s">
        <v>258</v>
      </c>
    </row>
    <row r="9" spans="2:10">
      <c r="B9" t="s">
        <v>259</v>
      </c>
      <c r="C9" t="s">
        <v>255</v>
      </c>
      <c r="D9" t="s">
        <v>260</v>
      </c>
      <c r="E9" s="91">
        <v>2</v>
      </c>
      <c r="F9" s="91">
        <v>3</v>
      </c>
      <c r="G9" s="90">
        <f t="shared" ref="G9:G17" si="1">E9*F9</f>
        <v>6</v>
      </c>
      <c r="H9" s="111" t="str">
        <f t="shared" si="0"/>
        <v>Low</v>
      </c>
      <c r="I9" t="s">
        <v>261</v>
      </c>
      <c r="J9" t="s">
        <v>262</v>
      </c>
    </row>
    <row r="10" spans="2:10">
      <c r="B10" t="s">
        <v>263</v>
      </c>
      <c r="C10" t="s">
        <v>255</v>
      </c>
      <c r="D10" t="s">
        <v>264</v>
      </c>
      <c r="E10" s="91">
        <v>2</v>
      </c>
      <c r="F10" s="91">
        <v>4</v>
      </c>
      <c r="G10" s="90">
        <f t="shared" si="1"/>
        <v>8</v>
      </c>
      <c r="H10" s="111" t="str">
        <f t="shared" si="0"/>
        <v>Low</v>
      </c>
      <c r="I10" t="s">
        <v>265</v>
      </c>
      <c r="J10" t="s">
        <v>258</v>
      </c>
    </row>
    <row r="11" spans="2:10">
      <c r="B11" t="s">
        <v>266</v>
      </c>
      <c r="C11" t="s">
        <v>267</v>
      </c>
      <c r="D11" t="s">
        <v>268</v>
      </c>
      <c r="E11" s="91">
        <v>3</v>
      </c>
      <c r="F11" s="91">
        <v>5</v>
      </c>
      <c r="G11" s="90">
        <f t="shared" si="1"/>
        <v>15</v>
      </c>
      <c r="H11" s="111" t="str">
        <f t="shared" si="0"/>
        <v>Medium</v>
      </c>
      <c r="I11" t="s">
        <v>269</v>
      </c>
      <c r="J11" t="s">
        <v>270</v>
      </c>
    </row>
    <row r="12" spans="2:10">
      <c r="B12" t="s">
        <v>271</v>
      </c>
      <c r="C12" t="s">
        <v>267</v>
      </c>
      <c r="D12" t="s">
        <v>272</v>
      </c>
      <c r="E12" s="91">
        <v>3</v>
      </c>
      <c r="F12" s="91">
        <v>3</v>
      </c>
      <c r="G12" s="90">
        <f t="shared" si="1"/>
        <v>9</v>
      </c>
      <c r="H12" s="111" t="str">
        <f t="shared" si="0"/>
        <v>Low</v>
      </c>
      <c r="I12" t="s">
        <v>273</v>
      </c>
      <c r="J12" t="s">
        <v>258</v>
      </c>
    </row>
    <row r="13" spans="2:10">
      <c r="B13" t="s">
        <v>274</v>
      </c>
      <c r="C13" t="s">
        <v>267</v>
      </c>
      <c r="D13" t="s">
        <v>275</v>
      </c>
      <c r="E13" s="91">
        <v>2</v>
      </c>
      <c r="F13" s="91">
        <v>3</v>
      </c>
      <c r="G13" s="90">
        <f t="shared" si="1"/>
        <v>6</v>
      </c>
      <c r="H13" s="111" t="str">
        <f t="shared" si="0"/>
        <v>Low</v>
      </c>
      <c r="I13" t="s">
        <v>276</v>
      </c>
      <c r="J13" t="s">
        <v>262</v>
      </c>
    </row>
    <row r="14" spans="2:10">
      <c r="B14" t="s">
        <v>277</v>
      </c>
      <c r="C14" t="s">
        <v>278</v>
      </c>
      <c r="D14" t="s">
        <v>279</v>
      </c>
      <c r="E14" s="91">
        <v>2</v>
      </c>
      <c r="F14" s="91">
        <v>4</v>
      </c>
      <c r="G14" s="90">
        <f t="shared" si="1"/>
        <v>8</v>
      </c>
      <c r="H14" s="111" t="str">
        <f t="shared" si="0"/>
        <v>Low</v>
      </c>
      <c r="I14" t="s">
        <v>280</v>
      </c>
      <c r="J14" t="s">
        <v>258</v>
      </c>
    </row>
    <row r="15" spans="2:10">
      <c r="B15" t="s">
        <v>281</v>
      </c>
      <c r="C15" t="s">
        <v>282</v>
      </c>
      <c r="D15" t="s">
        <v>283</v>
      </c>
      <c r="E15" s="91">
        <v>2</v>
      </c>
      <c r="F15" s="91">
        <v>5</v>
      </c>
      <c r="G15" s="90">
        <f t="shared" si="1"/>
        <v>10</v>
      </c>
      <c r="H15" s="111" t="str">
        <f t="shared" si="0"/>
        <v>Medium</v>
      </c>
      <c r="I15" t="s">
        <v>284</v>
      </c>
      <c r="J15" t="s">
        <v>270</v>
      </c>
    </row>
    <row r="16" spans="2:10">
      <c r="B16" t="s">
        <v>285</v>
      </c>
      <c r="C16" t="s">
        <v>286</v>
      </c>
      <c r="D16" t="s">
        <v>287</v>
      </c>
      <c r="E16" s="91">
        <v>3</v>
      </c>
      <c r="F16" s="91">
        <v>2</v>
      </c>
      <c r="G16" s="90">
        <f t="shared" si="1"/>
        <v>6</v>
      </c>
      <c r="H16" s="111" t="str">
        <f t="shared" si="0"/>
        <v>Low</v>
      </c>
      <c r="I16" t="s">
        <v>288</v>
      </c>
      <c r="J16" t="s">
        <v>262</v>
      </c>
    </row>
    <row r="17" spans="2:10">
      <c r="B17" t="s">
        <v>289</v>
      </c>
      <c r="C17" t="s">
        <v>286</v>
      </c>
      <c r="D17" t="s">
        <v>290</v>
      </c>
      <c r="E17" s="91">
        <v>2</v>
      </c>
      <c r="F17" s="91">
        <v>3</v>
      </c>
      <c r="G17" s="90">
        <f t="shared" si="1"/>
        <v>6</v>
      </c>
      <c r="H17" s="111" t="str">
        <f t="shared" si="0"/>
        <v>Low</v>
      </c>
      <c r="I17" t="s">
        <v>291</v>
      </c>
      <c r="J17" t="s">
        <v>262</v>
      </c>
    </row>
    <row r="20" spans="2:10">
      <c r="B20" s="110" t="s">
        <v>292</v>
      </c>
      <c r="C20" s="110"/>
    </row>
    <row r="21" spans="2:10">
      <c r="B21" t="s">
        <v>293</v>
      </c>
      <c r="C21">
        <v>10</v>
      </c>
    </row>
    <row r="22" spans="2:10">
      <c r="B22" t="s">
        <v>294</v>
      </c>
      <c r="C22">
        <f>COUNTIF(H8:H17,"Critical")</f>
        <v>0</v>
      </c>
    </row>
    <row r="23" spans="2:10">
      <c r="B23" t="s">
        <v>295</v>
      </c>
      <c r="C23">
        <f>COUNTIF(H8:H17,"High")</f>
        <v>0</v>
      </c>
    </row>
    <row r="24" spans="2:10">
      <c r="B24" t="s">
        <v>296</v>
      </c>
      <c r="C24">
        <f>COUNTIF(H8:H17,"Medium")</f>
        <v>2</v>
      </c>
    </row>
    <row r="25" spans="2:10">
      <c r="B25" t="s">
        <v>297</v>
      </c>
      <c r="C25">
        <f>COUNTIF(H8:H17,"Low")</f>
        <v>8</v>
      </c>
    </row>
    <row r="26" spans="2:10">
      <c r="B26" t="s">
        <v>298</v>
      </c>
      <c r="C26" s="112">
        <f>AVERAGE(F8:F17)</f>
        <v>3.6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25"/>
  <sheetViews>
    <sheetView workbookViewId="0">
      <selection activeCell="H13" sqref="H13"/>
    </sheetView>
  </sheetViews>
  <sheetFormatPr baseColWidth="10" defaultColWidth="9.140625" defaultRowHeight="15"/>
  <cols>
    <col min="2" max="2" width="52.140625" bestFit="1" customWidth="1"/>
    <col min="3" max="3" width="26.5703125" bestFit="1" customWidth="1"/>
    <col min="4" max="4" width="23" bestFit="1" customWidth="1"/>
    <col min="5" max="5" width="18.42578125" bestFit="1" customWidth="1"/>
    <col min="6" max="6" width="10.42578125" bestFit="1" customWidth="1"/>
  </cols>
  <sheetData>
    <row r="2" spans="2:6" ht="18.75">
      <c r="B2" s="101" t="s">
        <v>299</v>
      </c>
    </row>
    <row r="3" spans="2:6">
      <c r="B3" s="102" t="s">
        <v>1</v>
      </c>
    </row>
    <row r="5" spans="2:6">
      <c r="B5" s="87" t="s">
        <v>300</v>
      </c>
    </row>
    <row r="7" spans="2:6">
      <c r="B7" s="104" t="s">
        <v>301</v>
      </c>
      <c r="C7" s="104" t="s">
        <v>302</v>
      </c>
      <c r="D7" s="113" t="s">
        <v>303</v>
      </c>
      <c r="E7" s="104" t="s">
        <v>304</v>
      </c>
      <c r="F7" s="104" t="s">
        <v>79</v>
      </c>
    </row>
    <row r="8" spans="2:6">
      <c r="D8" s="114"/>
    </row>
    <row r="9" spans="2:6">
      <c r="B9" s="87" t="s">
        <v>305</v>
      </c>
      <c r="D9" s="114"/>
    </row>
    <row r="10" spans="2:6">
      <c r="B10" t="s">
        <v>306</v>
      </c>
      <c r="C10" s="91">
        <v>1700</v>
      </c>
      <c r="D10" s="115">
        <v>1909</v>
      </c>
      <c r="E10" s="91">
        <v>2100</v>
      </c>
      <c r="F10" t="s">
        <v>307</v>
      </c>
    </row>
    <row r="11" spans="2:6">
      <c r="B11" t="s">
        <v>308</v>
      </c>
      <c r="C11" s="91">
        <v>600</v>
      </c>
      <c r="D11" s="115">
        <v>550</v>
      </c>
      <c r="E11" s="91">
        <v>500</v>
      </c>
      <c r="F11" t="s">
        <v>309</v>
      </c>
    </row>
    <row r="12" spans="2:6">
      <c r="B12" t="s">
        <v>310</v>
      </c>
      <c r="C12" s="91">
        <v>0.22</v>
      </c>
      <c r="D12" s="115">
        <v>0.26</v>
      </c>
      <c r="E12" s="91">
        <v>0.3</v>
      </c>
      <c r="F12" t="s">
        <v>101</v>
      </c>
    </row>
    <row r="13" spans="2:6">
      <c r="B13" t="s">
        <v>311</v>
      </c>
      <c r="C13" s="91">
        <v>5</v>
      </c>
      <c r="D13" s="115">
        <v>4</v>
      </c>
      <c r="E13" s="91">
        <v>3</v>
      </c>
      <c r="F13" t="s">
        <v>312</v>
      </c>
    </row>
    <row r="14" spans="2:6">
      <c r="B14" t="s">
        <v>313</v>
      </c>
      <c r="C14" s="91">
        <v>0.08</v>
      </c>
      <c r="D14" s="115">
        <v>0.05</v>
      </c>
      <c r="E14" s="91">
        <v>0.03</v>
      </c>
      <c r="F14" t="s">
        <v>90</v>
      </c>
    </row>
    <row r="15" spans="2:6">
      <c r="B15" t="s">
        <v>314</v>
      </c>
      <c r="C15" s="91">
        <v>7.0000000000000001E-3</v>
      </c>
      <c r="D15" s="115">
        <v>5.0000000000000001E-3</v>
      </c>
      <c r="E15" s="91">
        <v>3.0000000000000001E-3</v>
      </c>
      <c r="F15" t="s">
        <v>93</v>
      </c>
    </row>
    <row r="16" spans="2:6">
      <c r="D16" s="114"/>
    </row>
    <row r="17" spans="2:5">
      <c r="D17" s="114"/>
    </row>
    <row r="18" spans="2:5">
      <c r="B18" s="87" t="s">
        <v>315</v>
      </c>
      <c r="D18" s="114"/>
    </row>
    <row r="19" spans="2:5">
      <c r="D19" s="114"/>
    </row>
    <row r="20" spans="2:5">
      <c r="B20" t="s">
        <v>196</v>
      </c>
      <c r="C20" s="105" cm="1">
        <f t="array" aca="1" ref="C20" ca="1">SUMPRODUCT((C10*Inputs!C8*(1-C13)^(ROW(INDIRECT("1:25"))-1)*C12*(1+Inputs!C21)^(ROW(INDIRECT("1:25"))-1)-C11*Inputs!C8)/(1+C14)^ROW(INDIRECT("1:25")))-C11*Inputs!C8</f>
        <v>2.4436674480423885E+18</v>
      </c>
      <c r="D20" s="116">
        <f ca="1">SUMPRODUCT((D10*Inputs!C8*(1-D13)^(ROW(INDIRECT("1:25"))-1)*D12*(1+Inputs!C21)^(ROW(INDIRECT("1:25"))-1)-D11*Inputs!C8)/(1+D14)^ROW(INDIRECT("1:25")))-D11*Inputs!C8</f>
        <v>6196559906974784</v>
      </c>
      <c r="E20" s="105">
        <f ca="1">SUMPRODUCT((E10*Inputs!C8*(1-E13)^(ROW(INDIRECT("1:25"))-1)*E12*(1+Inputs!C21)^(ROW(INDIRECT("1:25"))-1)-E11*Inputs!C8)/(1+E14)^ROW(INDIRECT("1:25")))-E11*Inputs!C8</f>
        <v>674427127264.39441</v>
      </c>
    </row>
    <row r="21" spans="2:5">
      <c r="B21" t="s">
        <v>198</v>
      </c>
      <c r="C21" s="117"/>
      <c r="D21" s="114"/>
    </row>
    <row r="22" spans="2:5">
      <c r="B22" t="s">
        <v>316</v>
      </c>
      <c r="C22" s="105">
        <f>C11*Inputs!C8/(C10*Inputs!C8*C12-C11*Inputs!C8)</f>
        <v>-2.6548672566371683</v>
      </c>
      <c r="D22" s="116">
        <f>D11*Inputs!C8/(D10*Inputs!C8*D12-D11*Inputs!C8)</f>
        <v>-10.249720462169213</v>
      </c>
      <c r="E22" s="105">
        <f>E11*Inputs!C8/(E10*Inputs!C8*E12-E11*Inputs!C8)</f>
        <v>3.8461538461538463</v>
      </c>
    </row>
    <row r="23" spans="2:5">
      <c r="B23" t="s">
        <v>317</v>
      </c>
      <c r="C23" s="105">
        <f ca="1">(C11*Inputs!C8+SUMPRODUCT(C11*Inputs!C8/(1+C14)^ROW(INDIRECT("1:25"))))/SUMPRODUCT(C10*Inputs!C8*(1-C13)^(ROW(INDIRECT("1:25"))-1)/(1+C14)^ROW(INDIRECT("1:25")))</f>
        <v>1.273235411868921E-13</v>
      </c>
      <c r="D23" s="116">
        <f ca="1">(D11*Inputs!C8+SUMPRODUCT(D11*Inputs!C8/(1+D14)^ROW(INDIRECT("1:25"))))/SUMPRODUCT(D10*Inputs!C8*(1-D13)^(ROW(INDIRECT("1:25"))-1)/(1+D14)^ROW(INDIRECT("1:25")))</f>
        <v>7.0390758296587935E-11</v>
      </c>
      <c r="E23" s="105">
        <f ca="1">(E11*Inputs!C8+SUMPRODUCT(E11*Inputs!C8/(1+E14)^ROW(INDIRECT("1:25"))))/SUMPRODUCT(E10*Inputs!C8*(1-E13)^(ROW(INDIRECT("1:25"))-1)/(1+E14)^ROW(INDIRECT("1:25")))</f>
        <v>8.2889987409606157E-7</v>
      </c>
    </row>
    <row r="24" spans="2:5">
      <c r="B24" t="s">
        <v>197</v>
      </c>
      <c r="C24" s="105">
        <f ca="1">SUMPRODUCT(C10*Inputs!C8*(1-C13)^(ROW(INDIRECT("1:25"))-1)*C12*(1+Inputs!C21)^(ROW(INDIRECT("1:25"))-1)-C11*Inputs!C8)/(C11*Inputs!C8)</f>
        <v>226652605967380.09</v>
      </c>
      <c r="D24" s="116">
        <f ca="1">SUMPRODUCT(D10*Inputs!C8*(1-D13)^(ROW(INDIRECT("1:25"))-1)*D12*(1+Inputs!C21)^(ROW(INDIRECT("1:25"))-1)-D11*Inputs!C8)/(D11*Inputs!C8)</f>
        <v>308977044965.16223</v>
      </c>
      <c r="E24" s="105">
        <f ca="1">SUMPRODUCT(E10*Inputs!C8*(1-E13)^(ROW(INDIRECT("1:25"))-1)*E12*(1+Inputs!C21)^(ROW(INDIRECT("1:25"))-1)-E11*Inputs!C8)/(E11*Inputs!C8)</f>
        <v>22816586.885813989</v>
      </c>
    </row>
    <row r="25" spans="2:5">
      <c r="B25" t="s">
        <v>318</v>
      </c>
      <c r="C25" s="105">
        <f ca="1">SUMPRODUCT(C10*Inputs!C8*(1-C13)^(ROW(INDIRECT("1:25"))-1)*C12*(1+Inputs!C21)^(ROW(INDIRECT("1:25"))-1))</f>
        <v>1.6998945447555379E+19</v>
      </c>
      <c r="D25" s="116">
        <f ca="1">SUMPRODUCT(D10*Inputs!C8*(1-D13)^(ROW(INDIRECT("1:25"))-1)*D12*(1+Inputs!C21)^(ROW(INDIRECT("1:25"))-1))</f>
        <v>2.1242171843073652E+16</v>
      </c>
      <c r="E25" s="105">
        <f ca="1">SUMPRODUCT(E10*Inputs!C8*(1-E13)^(ROW(INDIRECT("1:25"))-1)*E12*(1+Inputs!C21)^(ROW(INDIRECT("1:25"))-1))</f>
        <v>1426038242863.3743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68"/>
  <sheetViews>
    <sheetView workbookViewId="0"/>
  </sheetViews>
  <sheetFormatPr baseColWidth="10" defaultColWidth="9.140625" defaultRowHeight="15"/>
  <sheetData>
    <row r="2" spans="2:8" ht="18.75">
      <c r="B2" s="101" t="s">
        <v>319</v>
      </c>
    </row>
    <row r="3" spans="2:8">
      <c r="B3" s="102" t="s">
        <v>1</v>
      </c>
    </row>
    <row r="5" spans="2:8">
      <c r="B5" s="87" t="s">
        <v>320</v>
      </c>
    </row>
    <row r="7" spans="2:8">
      <c r="B7" s="118" t="s">
        <v>321</v>
      </c>
      <c r="E7" s="118" t="s">
        <v>322</v>
      </c>
      <c r="H7" s="118" t="s">
        <v>323</v>
      </c>
    </row>
    <row r="8" spans="2:8" ht="18.75">
      <c r="B8" s="119" t="str">
        <f>Summary!C18</f>
        <v>N/A</v>
      </c>
      <c r="E8" s="120">
        <f>Summary!C19</f>
        <v>798061.57767609321</v>
      </c>
      <c r="H8" s="121">
        <f>Summary!C17</f>
        <v>-1</v>
      </c>
    </row>
    <row r="10" spans="2:8">
      <c r="B10" s="118" t="s">
        <v>324</v>
      </c>
      <c r="E10" s="118" t="s">
        <v>325</v>
      </c>
      <c r="H10" s="118" t="s">
        <v>326</v>
      </c>
    </row>
    <row r="11" spans="2:8" ht="18.75">
      <c r="B11" s="122">
        <f>Summary!C23</f>
        <v>87974.522778734041</v>
      </c>
      <c r="E11" s="123">
        <f>Summary!C22</f>
        <v>14.607322339756477</v>
      </c>
      <c r="H11" s="124">
        <f>Summary!C32</f>
        <v>124.57249090909092</v>
      </c>
    </row>
    <row r="14" spans="2:8">
      <c r="B14" s="87" t="s">
        <v>327</v>
      </c>
    </row>
    <row r="16" spans="2:8">
      <c r="B16" t="s">
        <v>3</v>
      </c>
      <c r="C16" t="s">
        <v>328</v>
      </c>
      <c r="D16" t="s">
        <v>329</v>
      </c>
      <c r="E16" t="s">
        <v>330</v>
      </c>
      <c r="F16" t="s">
        <v>331</v>
      </c>
    </row>
    <row r="17" spans="2:6">
      <c r="B17">
        <v>1</v>
      </c>
      <c r="C17" s="125">
        <f>'Annual Cashflow'!C8</f>
        <v>238609</v>
      </c>
      <c r="D17" s="125">
        <f>'Annual Cashflow'!E8</f>
        <v>62038.340000000004</v>
      </c>
      <c r="E17" s="125">
        <f>'Annual Cashflow'!H8</f>
        <v>-7261.6599999999962</v>
      </c>
      <c r="F17">
        <f>Inputs!C18</f>
        <v>68800</v>
      </c>
    </row>
    <row r="18" spans="2:6">
      <c r="B18">
        <v>2</v>
      </c>
      <c r="C18" s="125">
        <f>'Annual Cashflow'!C9</f>
        <v>237415.95499999999</v>
      </c>
      <c r="D18" s="125">
        <f>'Annual Cashflow'!E9</f>
        <v>62962.711265999991</v>
      </c>
      <c r="E18" s="125">
        <f>'Annual Cashflow'!H9</f>
        <v>55201.051265999995</v>
      </c>
      <c r="F18">
        <f>F17</f>
        <v>68800</v>
      </c>
    </row>
    <row r="19" spans="2:6">
      <c r="B19">
        <v>3</v>
      </c>
      <c r="C19" s="125">
        <f>'Annual Cashflow'!C10</f>
        <v>236228.875225</v>
      </c>
      <c r="D19" s="125">
        <f>'Annual Cashflow'!E10</f>
        <v>63900.855663863404</v>
      </c>
      <c r="E19" s="125">
        <f>'Annual Cashflow'!H10</f>
        <v>118601.9069298634</v>
      </c>
      <c r="F19">
        <f>F17</f>
        <v>68800</v>
      </c>
    </row>
    <row r="20" spans="2:6">
      <c r="B20">
        <v>4</v>
      </c>
      <c r="C20" s="125">
        <f>'Annual Cashflow'!C11</f>
        <v>235047.73084887498</v>
      </c>
      <c r="D20" s="125">
        <f>'Annual Cashflow'!E11</f>
        <v>64852.978413254961</v>
      </c>
      <c r="E20" s="125">
        <f>'Annual Cashflow'!H11</f>
        <v>182954.88534311837</v>
      </c>
      <c r="F20">
        <f>F17</f>
        <v>68800</v>
      </c>
    </row>
    <row r="21" spans="2:6">
      <c r="B21">
        <v>5</v>
      </c>
      <c r="C21" s="125">
        <f>'Annual Cashflow'!C12</f>
        <v>233872.49219463061</v>
      </c>
      <c r="D21" s="125">
        <f>'Annual Cashflow'!E12</f>
        <v>65819.287791612471</v>
      </c>
      <c r="E21" s="125">
        <f>'Annual Cashflow'!H12</f>
        <v>248274.17313473084</v>
      </c>
      <c r="F21">
        <f>F17</f>
        <v>68800</v>
      </c>
    </row>
    <row r="22" spans="2:6">
      <c r="B22">
        <v>6</v>
      </c>
      <c r="C22" s="125">
        <f>'Annual Cashflow'!C13</f>
        <v>232703.12973365746</v>
      </c>
      <c r="D22" s="125">
        <f>'Annual Cashflow'!E13</f>
        <v>66799.99517970749</v>
      </c>
      <c r="E22" s="125">
        <f>'Annual Cashflow'!H13</f>
        <v>314574.16831443831</v>
      </c>
      <c r="F22">
        <f>F17</f>
        <v>68800</v>
      </c>
    </row>
    <row r="23" spans="2:6">
      <c r="B23">
        <v>7</v>
      </c>
      <c r="C23" s="125">
        <f>'Annual Cashflow'!C14</f>
        <v>231539.61408498918</v>
      </c>
      <c r="D23" s="125">
        <f>'Annual Cashflow'!E14</f>
        <v>67795.315107885137</v>
      </c>
      <c r="E23" s="125">
        <f>'Annual Cashflow'!H14</f>
        <v>381869.48342232348</v>
      </c>
      <c r="F23">
        <f>F17</f>
        <v>68800</v>
      </c>
    </row>
    <row r="24" spans="2:6">
      <c r="B24">
        <v>8</v>
      </c>
      <c r="C24" s="125">
        <f>'Annual Cashflow'!C15</f>
        <v>230381.91601456422</v>
      </c>
      <c r="D24" s="125">
        <f>'Annual Cashflow'!E15</f>
        <v>68805.465302992627</v>
      </c>
      <c r="E24" s="125">
        <f>'Annual Cashflow'!H15</f>
        <v>450174.94872531609</v>
      </c>
      <c r="F24">
        <f>F17</f>
        <v>68800</v>
      </c>
    </row>
    <row r="25" spans="2:6">
      <c r="B25">
        <v>9</v>
      </c>
      <c r="C25" s="125">
        <f>'Annual Cashflow'!C16</f>
        <v>229230.0064344914</v>
      </c>
      <c r="D25" s="125">
        <f>'Annual Cashflow'!E16</f>
        <v>69830.666736007232</v>
      </c>
      <c r="E25" s="125">
        <f>'Annual Cashflow'!H16</f>
        <v>519505.61546132329</v>
      </c>
      <c r="F25">
        <f>F17</f>
        <v>68800</v>
      </c>
    </row>
    <row r="26" spans="2:6">
      <c r="B26">
        <v>10</v>
      </c>
      <c r="C26" s="125">
        <f>'Annual Cashflow'!C17</f>
        <v>228083.85640231895</v>
      </c>
      <c r="D26" s="125">
        <f>'Annual Cashflow'!E17</f>
        <v>70871.143670373742</v>
      </c>
      <c r="E26" s="125">
        <f>'Annual Cashflow'!H17</f>
        <v>589876.75913169701</v>
      </c>
      <c r="F26">
        <f>F17</f>
        <v>68800</v>
      </c>
    </row>
    <row r="27" spans="2:6">
      <c r="B27">
        <v>11</v>
      </c>
      <c r="C27" s="125">
        <f>'Annual Cashflow'!C18</f>
        <v>226943.43712030735</v>
      </c>
      <c r="D27" s="125">
        <f>'Annual Cashflow'!E18</f>
        <v>71927.123711062304</v>
      </c>
      <c r="E27" s="125">
        <f>'Annual Cashflow'!H18</f>
        <v>661303.88284275937</v>
      </c>
      <c r="F27">
        <f>F17</f>
        <v>68800</v>
      </c>
    </row>
    <row r="28" spans="2:6">
      <c r="B28">
        <v>12</v>
      </c>
      <c r="C28" s="125">
        <f>'Annual Cashflow'!C19</f>
        <v>225808.71993470582</v>
      </c>
      <c r="D28" s="125">
        <f>'Annual Cashflow'!E19</f>
        <v>72998.837854357131</v>
      </c>
      <c r="E28" s="125">
        <f>'Annual Cashflow'!H19</f>
        <v>733802.72069711646</v>
      </c>
      <c r="F28">
        <f>F17</f>
        <v>68800</v>
      </c>
    </row>
    <row r="29" spans="2:6">
      <c r="B29">
        <v>13</v>
      </c>
      <c r="C29" s="125">
        <f>'Annual Cashflow'!C20</f>
        <v>224679.6763350323</v>
      </c>
      <c r="D29" s="125">
        <f>'Annual Cashflow'!E20</f>
        <v>74086.520538387063</v>
      </c>
      <c r="E29" s="125">
        <f>'Annual Cashflow'!H20</f>
        <v>807389.24123550346</v>
      </c>
      <c r="F29">
        <f>F17</f>
        <v>68800</v>
      </c>
    </row>
    <row r="30" spans="2:6">
      <c r="B30">
        <v>14</v>
      </c>
      <c r="C30" s="125">
        <f>'Annual Cashflow'!C21</f>
        <v>223556.27795335714</v>
      </c>
      <c r="D30" s="125">
        <f>'Annual Cashflow'!E21</f>
        <v>75190.409694409042</v>
      </c>
      <c r="E30" s="125">
        <f>'Annual Cashflow'!H21</f>
        <v>882079.65092991246</v>
      </c>
      <c r="F30">
        <f>F17</f>
        <v>68800</v>
      </c>
    </row>
    <row r="31" spans="2:6">
      <c r="B31">
        <v>15</v>
      </c>
      <c r="C31" s="125">
        <f>'Annual Cashflow'!C22</f>
        <v>222438.49656359036</v>
      </c>
      <c r="D31" s="125">
        <f>'Annual Cashflow'!E22</f>
        <v>76310.746798855733</v>
      </c>
      <c r="E31" s="125">
        <f>'Annual Cashflow'!H22</f>
        <v>957890.39772876818</v>
      </c>
      <c r="F31">
        <f>F17</f>
        <v>68800</v>
      </c>
    </row>
    <row r="32" spans="2:6">
      <c r="B32">
        <v>16</v>
      </c>
      <c r="C32" s="125">
        <f>'Annual Cashflow'!C23</f>
        <v>221326.30408077242</v>
      </c>
      <c r="D32" s="125">
        <f>'Annual Cashflow'!E23</f>
        <v>77447.77692615868</v>
      </c>
      <c r="E32" s="125">
        <f>'Annual Cashflow'!H23</f>
        <v>1034838.1746549269</v>
      </c>
      <c r="F32">
        <f>F17</f>
        <v>68800</v>
      </c>
    </row>
    <row r="33" spans="2:6">
      <c r="B33">
        <v>17</v>
      </c>
      <c r="C33" s="125">
        <f>'Annual Cashflow'!C24</f>
        <v>220219.67256036855</v>
      </c>
      <c r="D33" s="125">
        <f>'Annual Cashflow'!E24</f>
        <v>78601.748802358445</v>
      </c>
      <c r="E33" s="125">
        <f>'Annual Cashflow'!H24</f>
        <v>1112939.9234572854</v>
      </c>
      <c r="F33">
        <f>F17</f>
        <v>68800</v>
      </c>
    </row>
    <row r="34" spans="2:6">
      <c r="B34">
        <v>18</v>
      </c>
      <c r="C34" s="125">
        <f>'Annual Cashflow'!C25</f>
        <v>219118.57419756672</v>
      </c>
      <c r="D34" s="125">
        <f>'Annual Cashflow'!E25</f>
        <v>79772.914859513592</v>
      </c>
      <c r="E34" s="125">
        <f>'Annual Cashflow'!H25</f>
        <v>1192212.8383167989</v>
      </c>
      <c r="F34">
        <f>F17</f>
        <v>68800</v>
      </c>
    </row>
    <row r="35" spans="2:6">
      <c r="B35">
        <v>19</v>
      </c>
      <c r="C35" s="125">
        <f>'Annual Cashflow'!C26</f>
        <v>218022.98132657888</v>
      </c>
      <c r="D35" s="125">
        <f>'Annual Cashflow'!E26</f>
        <v>80961.531290920335</v>
      </c>
      <c r="E35" s="125">
        <f>'Annual Cashflow'!H26</f>
        <v>1272674.3696077191</v>
      </c>
      <c r="F35">
        <f>F17</f>
        <v>68800</v>
      </c>
    </row>
    <row r="36" spans="2:6">
      <c r="B36">
        <v>20</v>
      </c>
      <c r="C36" s="125">
        <f>'Annual Cashflow'!C27</f>
        <v>216932.86641994599</v>
      </c>
      <c r="D36" s="125">
        <f>'Annual Cashflow'!E27</f>
        <v>82167.858107155058</v>
      </c>
      <c r="E36" s="125">
        <f>'Annual Cashflow'!H27</f>
        <v>1354342.2277148741</v>
      </c>
      <c r="F36">
        <f>F17</f>
        <v>68800</v>
      </c>
    </row>
    <row r="37" spans="2:6">
      <c r="B37">
        <v>21</v>
      </c>
      <c r="C37" s="125">
        <f>'Annual Cashflow'!C28</f>
        <v>215848.20208784626</v>
      </c>
      <c r="D37" s="125">
        <f>'Annual Cashflow'!E28</f>
        <v>83392.159192951673</v>
      </c>
      <c r="E37" s="125">
        <f>'Annual Cashflow'!H28</f>
        <v>1437234.3869078257</v>
      </c>
      <c r="F37">
        <f>F17</f>
        <v>68800</v>
      </c>
    </row>
    <row r="38" spans="2:6">
      <c r="B38">
        <v>22</v>
      </c>
      <c r="C38" s="125">
        <f>'Annual Cashflow'!C29</f>
        <v>214768.96107740703</v>
      </c>
      <c r="D38" s="125">
        <f>'Annual Cashflow'!E29</f>
        <v>84634.702364926663</v>
      </c>
      <c r="E38" s="125">
        <f>'Annual Cashflow'!H29</f>
        <v>1521369.0892727524</v>
      </c>
      <c r="F38">
        <f>F17</f>
        <v>68800</v>
      </c>
    </row>
    <row r="39" spans="2:6">
      <c r="B39">
        <v>23</v>
      </c>
      <c r="C39" s="125">
        <f>'Annual Cashflow'!C30</f>
        <v>213695.11627202001</v>
      </c>
      <c r="D39" s="125">
        <f>'Annual Cashflow'!E30</f>
        <v>85895.759430164064</v>
      </c>
      <c r="E39" s="125">
        <f>'Annual Cashflow'!H30</f>
        <v>1606764.8487029164</v>
      </c>
      <c r="F39">
        <f>F17</f>
        <v>68800</v>
      </c>
    </row>
    <row r="40" spans="2:6">
      <c r="B40">
        <v>24</v>
      </c>
      <c r="C40" s="125">
        <f>'Annual Cashflow'!C31</f>
        <v>212626.6406906599</v>
      </c>
      <c r="D40" s="125">
        <f>'Annual Cashflow'!E31</f>
        <v>87175.606245673509</v>
      </c>
      <c r="E40" s="125">
        <f>'Annual Cashflow'!H31</f>
        <v>1693440.4549485899</v>
      </c>
      <c r="F40">
        <f>F17</f>
        <v>68800</v>
      </c>
    </row>
    <row r="41" spans="2:6">
      <c r="B41">
        <v>25</v>
      </c>
      <c r="C41" s="125">
        <f>'Annual Cashflow'!C32</f>
        <v>211563.5074872066</v>
      </c>
      <c r="D41" s="125">
        <f>'Annual Cashflow'!E32</f>
        <v>88474.522778734041</v>
      </c>
      <c r="E41" s="125">
        <f>'Annual Cashflow'!H32</f>
        <v>1781414.977727324</v>
      </c>
      <c r="F41">
        <f>F17</f>
        <v>68800</v>
      </c>
    </row>
    <row r="43" spans="2:6">
      <c r="B43" t="s">
        <v>226</v>
      </c>
      <c r="C43" t="s">
        <v>332</v>
      </c>
    </row>
    <row r="44" spans="2:6">
      <c r="B44" t="s">
        <v>333</v>
      </c>
      <c r="C44" s="125">
        <f>'Monthly Production'!C7</f>
        <v>19197.8</v>
      </c>
    </row>
    <row r="45" spans="2:6">
      <c r="B45" t="s">
        <v>334</v>
      </c>
      <c r="C45" s="125">
        <f>'Monthly Production'!C8</f>
        <v>18793.5</v>
      </c>
    </row>
    <row r="46" spans="2:6">
      <c r="B46" t="s">
        <v>335</v>
      </c>
      <c r="C46" s="125">
        <f>'Monthly Production'!C9</f>
        <v>22202.9</v>
      </c>
    </row>
    <row r="47" spans="2:6">
      <c r="B47" t="s">
        <v>336</v>
      </c>
      <c r="C47" s="125">
        <f>'Monthly Production'!C10</f>
        <v>22242.7</v>
      </c>
    </row>
    <row r="48" spans="2:6">
      <c r="B48" t="s">
        <v>232</v>
      </c>
      <c r="C48" s="125">
        <f>'Monthly Production'!C11</f>
        <v>21682.7</v>
      </c>
    </row>
    <row r="49" spans="2:4">
      <c r="B49" t="s">
        <v>337</v>
      </c>
      <c r="C49" s="125">
        <f>'Monthly Production'!C12</f>
        <v>18695.599999999999</v>
      </c>
    </row>
    <row r="50" spans="2:4">
      <c r="B50" t="s">
        <v>338</v>
      </c>
      <c r="C50" s="125">
        <f>'Monthly Production'!C13</f>
        <v>19350.7</v>
      </c>
    </row>
    <row r="51" spans="2:4">
      <c r="B51" t="s">
        <v>339</v>
      </c>
      <c r="C51" s="125">
        <f>'Monthly Production'!C14</f>
        <v>19028.2</v>
      </c>
    </row>
    <row r="52" spans="2:4">
      <c r="B52" t="s">
        <v>340</v>
      </c>
      <c r="C52" s="125">
        <f>'Monthly Production'!C15</f>
        <v>19367.5</v>
      </c>
    </row>
    <row r="53" spans="2:4">
      <c r="B53" t="s">
        <v>341</v>
      </c>
      <c r="C53" s="125">
        <f>'Monthly Production'!C16</f>
        <v>20845</v>
      </c>
    </row>
    <row r="54" spans="2:4">
      <c r="B54" t="s">
        <v>342</v>
      </c>
      <c r="C54" s="125">
        <f>'Monthly Production'!C17</f>
        <v>18598.5</v>
      </c>
    </row>
    <row r="55" spans="2:4">
      <c r="B55" t="s">
        <v>343</v>
      </c>
      <c r="C55" s="125">
        <f>'Monthly Production'!C18</f>
        <v>19101.099999999999</v>
      </c>
    </row>
    <row r="58" spans="2:4">
      <c r="B58" t="s">
        <v>194</v>
      </c>
      <c r="C58" t="s">
        <v>196</v>
      </c>
      <c r="D58" t="s">
        <v>344</v>
      </c>
    </row>
    <row r="59" spans="2:4">
      <c r="B59" t="s">
        <v>345</v>
      </c>
      <c r="C59" s="125">
        <f ca="1">'Sensitivity Analysis'!D8</f>
        <v>733777.6271235923</v>
      </c>
      <c r="D59" s="125">
        <f t="shared" ref="D59:D68" ca="1" si="0">C59-$C$61</f>
        <v>-202406.14985165361</v>
      </c>
    </row>
    <row r="60" spans="2:4">
      <c r="B60" t="s">
        <v>346</v>
      </c>
      <c r="C60" s="125">
        <f ca="1">'Sensitivity Analysis'!D9</f>
        <v>834980.70204941905</v>
      </c>
      <c r="D60" s="125">
        <f t="shared" ca="1" si="0"/>
        <v>-101203.07492582686</v>
      </c>
    </row>
    <row r="61" spans="2:4">
      <c r="B61" t="s">
        <v>303</v>
      </c>
      <c r="C61" s="125">
        <f ca="1">'Sensitivity Analysis'!D10</f>
        <v>936183.77697524591</v>
      </c>
      <c r="D61" s="125">
        <f t="shared" ca="1" si="0"/>
        <v>0</v>
      </c>
    </row>
    <row r="62" spans="2:4">
      <c r="B62" t="s">
        <v>347</v>
      </c>
      <c r="C62" s="125">
        <f ca="1">'Sensitivity Analysis'!D11</f>
        <v>1037386.8519010728</v>
      </c>
      <c r="D62" s="125">
        <f t="shared" ca="1" si="0"/>
        <v>101203.07492582686</v>
      </c>
    </row>
    <row r="63" spans="2:4">
      <c r="B63" t="s">
        <v>348</v>
      </c>
      <c r="C63" s="125">
        <f ca="1">'Sensitivity Analysis'!D12</f>
        <v>1138589.9268268996</v>
      </c>
      <c r="D63" s="125">
        <f t="shared" ca="1" si="0"/>
        <v>202406.14985165372</v>
      </c>
    </row>
    <row r="64" spans="2:4">
      <c r="B64" t="s">
        <v>349</v>
      </c>
      <c r="C64" s="125">
        <f ca="1">'Sensitivity Analysis'!D16</f>
        <v>915543.77697524591</v>
      </c>
      <c r="D64" s="125">
        <f t="shared" ca="1" si="0"/>
        <v>-20640</v>
      </c>
    </row>
    <row r="65" spans="2:4">
      <c r="B65" t="s">
        <v>350</v>
      </c>
      <c r="C65" s="125">
        <f ca="1">'Sensitivity Analysis'!D17</f>
        <v>922423.77697524591</v>
      </c>
      <c r="D65" s="125">
        <f t="shared" ca="1" si="0"/>
        <v>-13760</v>
      </c>
    </row>
    <row r="66" spans="2:4">
      <c r="B66" t="s">
        <v>351</v>
      </c>
      <c r="C66" s="125">
        <f ca="1">'Sensitivity Analysis'!D18</f>
        <v>929303.77697524591</v>
      </c>
      <c r="D66" s="125">
        <f t="shared" ca="1" si="0"/>
        <v>-6880</v>
      </c>
    </row>
    <row r="67" spans="2:4">
      <c r="B67" t="s">
        <v>352</v>
      </c>
      <c r="C67" s="125">
        <f ca="1">'Sensitivity Analysis'!D20</f>
        <v>943063.77697524591</v>
      </c>
      <c r="D67" s="125">
        <f t="shared" ca="1" si="0"/>
        <v>6880</v>
      </c>
    </row>
    <row r="68" spans="2:4">
      <c r="B68" t="s">
        <v>353</v>
      </c>
      <c r="C68" s="125">
        <f ca="1">'Sensitivity Analysis'!D21</f>
        <v>949943.77697524591</v>
      </c>
      <c r="D68" s="125">
        <f t="shared" ca="1" si="0"/>
        <v>13760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25"/>
  <sheetViews>
    <sheetView workbookViewId="0"/>
  </sheetViews>
  <sheetFormatPr baseColWidth="10" defaultColWidth="9.140625" defaultRowHeight="15"/>
  <sheetData>
    <row r="2" spans="2:6" ht="18.75">
      <c r="B2" s="101" t="s">
        <v>354</v>
      </c>
    </row>
    <row r="3" spans="2:6">
      <c r="B3" s="102" t="s">
        <v>355</v>
      </c>
    </row>
    <row r="5" spans="2:6">
      <c r="B5" s="87" t="s">
        <v>356</v>
      </c>
    </row>
    <row r="7" spans="2:6">
      <c r="B7" s="104" t="s">
        <v>357</v>
      </c>
      <c r="C7" s="104" t="s">
        <v>358</v>
      </c>
      <c r="D7" s="104" t="s">
        <v>359</v>
      </c>
      <c r="E7" s="104" t="s">
        <v>360</v>
      </c>
      <c r="F7" s="104" t="s">
        <v>361</v>
      </c>
    </row>
    <row r="8" spans="2:6">
      <c r="B8" t="s">
        <v>362</v>
      </c>
      <c r="C8" t="s">
        <v>363</v>
      </c>
      <c r="D8">
        <f>'Debt &amp; Equity'!C17+'Debt &amp; Equity'!C18</f>
        <v>68800</v>
      </c>
      <c r="E8">
        <f>Inputs!C18</f>
        <v>68800</v>
      </c>
      <c r="F8" s="126" t="str">
        <f>IF(D8=C8,"PASS","FAIL")</f>
        <v>FAIL</v>
      </c>
    </row>
    <row r="9" spans="2:6">
      <c r="B9" t="s">
        <v>364</v>
      </c>
      <c r="C9" t="s">
        <v>365</v>
      </c>
      <c r="D9">
        <f>'Annual Cashflow'!D34</f>
        <v>936183.77697524626</v>
      </c>
      <c r="E9" t="str">
        <f>Summary!C18</f>
        <v>N/A</v>
      </c>
      <c r="F9" s="126" t="str">
        <f>IF(D9=C9,"PASS","FAIL")</f>
        <v>FAIL</v>
      </c>
    </row>
    <row r="10" spans="2:6">
      <c r="B10" t="s">
        <v>366</v>
      </c>
      <c r="C10" t="s">
        <v>367</v>
      </c>
      <c r="D10">
        <f>SUM('Annual Cashflow'!C8:C32)</f>
        <v>5620662.0100458916</v>
      </c>
      <c r="E10">
        <f>Inputs!C11*25*(1-(1-Inputs!C14)^25)/Inputs!C14</f>
        <v>140516550.25114709</v>
      </c>
      <c r="F10" s="126" t="str">
        <f>IF(D10=C10,"PASS","FAIL")</f>
        <v>FAIL</v>
      </c>
    </row>
    <row r="11" spans="2:6">
      <c r="B11" t="s">
        <v>368</v>
      </c>
      <c r="C11" t="s">
        <v>369</v>
      </c>
      <c r="D11">
        <f>'Annual Cashflow'!C8</f>
        <v>238609</v>
      </c>
      <c r="E11">
        <f>Inputs!C11</f>
        <v>238609</v>
      </c>
      <c r="F11" s="126" t="str">
        <f>IF(D11=C11,"PASS","FAIL")</f>
        <v>FAIL</v>
      </c>
    </row>
    <row r="12" spans="2:6">
      <c r="B12" t="s">
        <v>370</v>
      </c>
      <c r="C12" t="s">
        <v>371</v>
      </c>
      <c r="D12">
        <f>COUNTA('Annual Cashflow'!J7:J32)</f>
        <v>26</v>
      </c>
      <c r="E12">
        <f>26</f>
        <v>26</v>
      </c>
      <c r="F12" s="126" t="str">
        <f>IF(D12=C12,"PASS","FAIL")</f>
        <v>FAIL</v>
      </c>
    </row>
    <row r="13" spans="2:6">
      <c r="B13" t="s">
        <v>372</v>
      </c>
      <c r="C13" t="s">
        <v>373</v>
      </c>
      <c r="D13">
        <f>Summary!C17</f>
        <v>-1</v>
      </c>
      <c r="E13">
        <f>Inputs!C23</f>
        <v>25</v>
      </c>
      <c r="F13" s="126" t="str">
        <f>IF(C13&lt;D13,"PASS","FAIL")</f>
        <v>FAIL</v>
      </c>
    </row>
    <row r="14" spans="2:6">
      <c r="B14" t="s">
        <v>374</v>
      </c>
      <c r="C14" t="s">
        <v>375</v>
      </c>
      <c r="D14">
        <f>Inputs!C22</f>
        <v>0.05</v>
      </c>
      <c r="E14">
        <f>0</f>
        <v>0</v>
      </c>
      <c r="F14" s="126" t="str">
        <f>IF(C14&gt;D14,"PASS","FAIL")</f>
        <v>PASS</v>
      </c>
    </row>
    <row r="15" spans="2:6">
      <c r="B15" t="s">
        <v>376</v>
      </c>
      <c r="C15" t="s">
        <v>377</v>
      </c>
      <c r="D15">
        <f>Inputs!C14</f>
        <v>5.0000000000000001E-3</v>
      </c>
      <c r="E15">
        <f>0.02</f>
        <v>0.02</v>
      </c>
      <c r="F15" s="126" t="str">
        <f>IF(C15&lt;D15,"PASS","FAIL")</f>
        <v>FAIL</v>
      </c>
    </row>
    <row r="16" spans="2:6">
      <c r="B16" t="s">
        <v>378</v>
      </c>
      <c r="C16" t="s">
        <v>379</v>
      </c>
      <c r="D16">
        <f>Summary!C23</f>
        <v>87974.522778734041</v>
      </c>
      <c r="E16">
        <f>Summary!C24</f>
        <v>24.613960100996945</v>
      </c>
      <c r="F16" s="126" t="str">
        <f>IF(C16&lt;D16,"PASS","FAIL")</f>
        <v>FAIL</v>
      </c>
    </row>
    <row r="17" spans="2:6">
      <c r="B17" t="s">
        <v>380</v>
      </c>
      <c r="C17" t="s">
        <v>381</v>
      </c>
      <c r="D17">
        <f>'Tax &amp; Depreciation'!E44</f>
        <v>68800</v>
      </c>
      <c r="E17">
        <f>Inputs!C18</f>
        <v>68800</v>
      </c>
      <c r="F17" s="126" t="str">
        <f>IF(C17&lt;=D17,"PASS","FAIL")</f>
        <v>FAIL</v>
      </c>
    </row>
    <row r="18" spans="2:6">
      <c r="B18" t="s">
        <v>382</v>
      </c>
      <c r="C18" t="s">
        <v>383</v>
      </c>
      <c r="D18">
        <f>MIN('Debt &amp; Equity'!G26:G40)</f>
        <v>0</v>
      </c>
      <c r="E18">
        <f>1.2</f>
        <v>1.2</v>
      </c>
      <c r="F18" s="126" t="str">
        <f>IF(C18&gt;=D18,"PASS","FAIL")</f>
        <v>PASS</v>
      </c>
    </row>
    <row r="19" spans="2:6">
      <c r="B19" t="s">
        <v>384</v>
      </c>
      <c r="C19" t="s">
        <v>385</v>
      </c>
      <c r="D19">
        <f>Summary!C22</f>
        <v>14.607322339756477</v>
      </c>
      <c r="E19">
        <f>1</f>
        <v>1</v>
      </c>
      <c r="F19" s="126" t="str">
        <f>IF(C19&gt;D19,"PASS","FAIL")</f>
        <v>PASS</v>
      </c>
    </row>
    <row r="21" spans="2:6">
      <c r="B21" s="87" t="s">
        <v>386</v>
      </c>
    </row>
    <row r="22" spans="2:6">
      <c r="B22" t="s">
        <v>387</v>
      </c>
      <c r="C22">
        <v>12</v>
      </c>
    </row>
    <row r="23" spans="2:6">
      <c r="B23" t="s">
        <v>388</v>
      </c>
      <c r="C23">
        <f>COUNTIF(F8:F19,"PASS")</f>
        <v>3</v>
      </c>
    </row>
    <row r="24" spans="2:6">
      <c r="B24" t="s">
        <v>389</v>
      </c>
      <c r="C24">
        <f>COUNTIF(F8:F19,"FAIL")</f>
        <v>9</v>
      </c>
    </row>
    <row r="25" spans="2:6" ht="15.75">
      <c r="B25" t="s">
        <v>390</v>
      </c>
      <c r="C25" s="127" t="str">
        <f>IF(C24=0,"VALIDATED","REVIEW REQUIRED")</f>
        <v>REVIEW REQUIRED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Cover</vt:lpstr>
      <vt:lpstr>Inputs</vt:lpstr>
      <vt:lpstr>Annual Cashflow</vt:lpstr>
      <vt:lpstr>Debt &amp; Equity</vt:lpstr>
      <vt:lpstr>Tax &amp; Depreciation</vt:lpstr>
      <vt:lpstr>Summary</vt:lpstr>
      <vt:lpstr>Sensitivity Analysis</vt:lpstr>
      <vt:lpstr>Monthly Production</vt:lpstr>
      <vt:lpstr>Risk Matrix</vt:lpstr>
      <vt:lpstr>Scenario Analysis</vt:lpstr>
      <vt:lpstr>Charts &amp; Dashboard</vt:lpstr>
      <vt:lpstr>Model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revision>0</cp:revision>
  <dcterms:created xsi:type="dcterms:W3CDTF">2026-05-05T20:31:27Z</dcterms:created>
  <dcterms:modified xsi:type="dcterms:W3CDTF">2026-05-06T12:38:48Z</dcterms:modified>
  <dc:language>en-US</dc:language>
</cp:coreProperties>
</file>